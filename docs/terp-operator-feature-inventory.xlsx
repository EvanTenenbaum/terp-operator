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Inventory" sheetId="1" state="visible" r:id="rId1"/>
  </sheets>
  <definedNames>
    <definedName name="_xlnm._FilterDatabase" localSheetId="0" hidden="1">'Feature Inventory'!$A$1:$F$362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, -apple-system, sans-serif"/>
      <b val="1"/>
      <color rgb="00FFFFFF"/>
      <sz val="11"/>
    </font>
    <font>
      <name val="Inter, -apple-system, sans-serif"/>
      <i val="1"/>
      <color rgb="006B7280"/>
      <sz val="10"/>
    </font>
    <font>
      <name val="Inter, -apple-system, sans-serif"/>
      <sz val="10"/>
    </font>
    <font>
      <name val="Inter, -apple-system, sans-serif"/>
      <strike val="1"/>
      <color rgb="00DC2626"/>
      <sz val="10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563EB"/>
        <bgColor rgb="002563E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5" customWidth="1" min="2" max="2"/>
    <col width="22" customWidth="1" min="3" max="3"/>
    <col width="22" customWidth="1" min="4" max="4"/>
    <col width="10" customWidth="1" min="5" max="5"/>
    <col width="45" customWidth="1" min="6" max="6"/>
  </cols>
  <sheetData>
    <row r="1" ht="28" customHeight="1">
      <c r="A1" s="1" t="inlineStr">
        <is>
          <t>Feature / Subfeature</t>
        </is>
      </c>
      <c r="B1" s="1" t="inlineStr">
        <is>
          <t>Description</t>
        </is>
      </c>
      <c r="C1" s="1" t="inlineStr">
        <is>
          <t>View / Area</t>
        </is>
      </c>
      <c r="D1" s="1" t="inlineStr">
        <is>
          <t>Type</t>
        </is>
      </c>
      <c r="E1" s="1" t="inlineStr">
        <is>
          <t>Kill?</t>
        </is>
      </c>
      <c r="F1" s="1" t="inlineStr">
        <is>
          <t>Notes / Changes (since 2026-06-16)</t>
        </is>
      </c>
    </row>
    <row r="2" ht="22" customHeight="1">
      <c r="A2" s="2" t="inlineStr">
        <is>
          <t>_Last updated: 2026-06-25 (formerly 2026-06-16) — Mercury UX Retrofit</t>
        </is>
      </c>
      <c r="B2" s="2" t="inlineStr">
        <is>
          <t xml:space="preserve"> domain extraction</t>
        </is>
      </c>
      <c r="C2" s="2" t="inlineStr">
        <is>
          <t xml:space="preserve"> command registry</t>
        </is>
      </c>
      <c r="D2" s="2" t="inlineStr">
        <is>
          <t xml:space="preserve"> 3 new ViewKeys</t>
        </is>
      </c>
      <c r="E2" s="2" t="inlineStr">
        <is>
          <t xml:space="preserve"> 10+ architectural changes_</t>
        </is>
      </c>
      <c r="F2" s="2" t="inlineStr"/>
    </row>
    <row r="4" ht="26" customHeight="1">
      <c r="A4" s="3">
        <f>== NAVIGATION &amp; SHELL ===</f>
        <v/>
      </c>
      <c r="B4" s="4" t="inlineStr"/>
      <c r="C4" s="4" t="inlineStr"/>
      <c r="D4" s="4" t="inlineStr"/>
      <c r="E4" s="4" t="inlineStr"/>
      <c r="F4" s="4" t="inlineStr"/>
    </row>
    <row r="5" ht="22" customHeight="1">
      <c r="A5" s="5" t="inlineStr">
        <is>
          <t>Side Navigation</t>
        </is>
      </c>
      <c r="B5" s="5" t="inlineStr">
        <is>
          <t>Left sidebar nav organized into 5 groups: Decide Procure Sell Money Admin</t>
        </is>
      </c>
      <c r="C5" s="5" t="inlineStr">
        <is>
          <t>Shell</t>
        </is>
      </c>
      <c r="D5" s="5" t="inlineStr">
        <is>
          <t>Navigation</t>
        </is>
      </c>
      <c r="E5" s="5" t="inlineStr"/>
      <c r="F5" s="5" t="inlineStr"/>
    </row>
    <row r="6" ht="22" customHeight="1">
      <c r="A6" s="5" t="inlineStr">
        <is>
          <t>Nav Group: Decide</t>
        </is>
      </c>
      <c r="B6" s="5" t="inlineStr">
        <is>
          <t>Dashboard, Reports</t>
        </is>
      </c>
      <c r="C6" s="5" t="inlineStr">
        <is>
          <t>Shell</t>
        </is>
      </c>
      <c r="D6" s="5" t="inlineStr">
        <is>
          <t>Navigation</t>
        </is>
      </c>
      <c r="E6" s="5" t="inlineStr"/>
      <c r="F6" s="5" t="inlineStr"/>
    </row>
    <row r="7" ht="22" customHeight="1">
      <c r="A7" s="5" t="inlineStr">
        <is>
          <t>Nav Group: Procure</t>
        </is>
      </c>
      <c r="B7" s="5" t="inlineStr">
        <is>
          <t>Purchase Orders, Receipts, Intake, Inventory, Photography, Items/SKUs</t>
        </is>
      </c>
      <c r="C7" s="5" t="inlineStr">
        <is>
          <t>Shell</t>
        </is>
      </c>
      <c r="D7" s="5" t="inlineStr">
        <is>
          <t>Navigation</t>
        </is>
      </c>
      <c r="E7" s="5" t="inlineStr"/>
      <c r="F7" s="5" t="inlineStr"/>
    </row>
    <row r="8" ht="22" customHeight="1">
      <c r="A8" s="5" t="inlineStr">
        <is>
          <t>Nav Group: Sell</t>
        </is>
      </c>
      <c r="B8" s="5" t="inlineStr">
        <is>
          <t>Sales, Matchmaking, Orders, Fulfillment, Pick Queue, Client Balances, Credit Review</t>
        </is>
      </c>
      <c r="C8" s="5" t="inlineStr">
        <is>
          <t>Shell</t>
        </is>
      </c>
      <c r="D8" s="5" t="inlineStr">
        <is>
          <t>Navigation</t>
        </is>
      </c>
      <c r="E8" s="5" t="inlineStr"/>
      <c r="F8" s="5" t="inlineStr"/>
    </row>
    <row r="9" ht="22" customHeight="1">
      <c r="A9" s="5" t="inlineStr">
        <is>
          <t>Nav Group: Money</t>
        </is>
      </c>
      <c r="B9" s="5" t="inlineStr">
        <is>
          <t>Payments, Vendor Payouts, Disputes, Referees, Contacts</t>
        </is>
      </c>
      <c r="C9" s="5" t="inlineStr">
        <is>
          <t>Shell</t>
        </is>
      </c>
      <c r="D9" s="5" t="inlineStr">
        <is>
          <t>Navigation</t>
        </is>
      </c>
      <c r="E9" s="5" t="inlineStr"/>
      <c r="F9" s="5" t="inlineStr"/>
    </row>
    <row r="10" ht="22" customHeight="1">
      <c r="A10" s="5" t="inlineStr">
        <is>
          <t>Nav Group: Admin</t>
        </is>
      </c>
      <c r="B10" s="5" t="inlineStr">
        <is>
          <t>Recovery, Closeout, Settings</t>
        </is>
      </c>
      <c r="C10" s="5" t="inlineStr">
        <is>
          <t>Shell</t>
        </is>
      </c>
      <c r="D10" s="5" t="inlineStr">
        <is>
          <t>Navigation</t>
        </is>
      </c>
      <c r="E10" s="5" t="inlineStr"/>
      <c r="F10" s="5" t="inlineStr"/>
    </row>
    <row r="11" ht="22" customHeight="1">
      <c r="A11" s="5" t="inlineStr">
        <is>
          <t>SideNav Collapse/Expand</t>
        </is>
      </c>
      <c r="B11" s="5" t="inlineStr">
        <is>
          <t>Toggle to collapse nav rail to icon-only (auto-collapses below 1024px)</t>
        </is>
      </c>
      <c r="C11" s="5" t="inlineStr">
        <is>
          <t>Shell</t>
        </is>
      </c>
      <c r="D11" s="5" t="inlineStr">
        <is>
          <t>Navigation</t>
        </is>
      </c>
      <c r="E11" s="5" t="inlineStr"/>
      <c r="F11" s="5" t="inlineStr"/>
    </row>
    <row r="12" ht="22" customHeight="1">
      <c r="A12" s="5" t="inlineStr">
        <is>
          <t>Keel Chips (Quick Actions)</t>
        </is>
      </c>
      <c r="B12" s="5" t="inlineStr">
        <is>
          <t>5 persistent top-bar quick-action buttons: New Sale, New PO, Receive against PO, Money in, Money out</t>
        </is>
      </c>
      <c r="C12" s="5" t="inlineStr">
        <is>
          <t>Shell</t>
        </is>
      </c>
      <c r="D12" s="5" t="inlineStr">
        <is>
          <t>Navigation (Keel)</t>
        </is>
      </c>
      <c r="E12" s="5" t="inlineStr"/>
      <c r="F12" s="5" t="inlineStr"/>
    </row>
    <row r="13" ht="22" customHeight="1">
      <c r="A13" s="5" t="inlineStr">
        <is>
          <t>Low-Frequency Nav Collapse</t>
        </is>
      </c>
      <c r="B13" s="5" t="inlineStr">
        <is>
          <t>Secondary nav items (Receipts, Photography, Items, Credit Review, Disputes, Referees) hidden behind "More" disclosure</t>
        </is>
      </c>
      <c r="C13" s="5" t="inlineStr">
        <is>
          <t>Shell</t>
        </is>
      </c>
      <c r="D13" s="5" t="inlineStr">
        <is>
          <t>Navigation</t>
        </is>
      </c>
      <c r="E13" s="5" t="inlineStr"/>
      <c r="F13" s="5" t="inlineStr"/>
    </row>
    <row r="14" ht="22" customHeight="1">
      <c r="A14" s="5" t="inlineStr">
        <is>
          <t>Command Palette</t>
        </is>
      </c>
      <c r="B14" s="5" t="inlineStr">
        <is>
          <t>Global Cmd+K searchable command palette to run any system command</t>
        </is>
      </c>
      <c r="C14" s="5" t="inlineStr">
        <is>
          <t>CommandPalette</t>
        </is>
      </c>
      <c r="D14" s="5" t="inlineStr">
        <is>
          <t>Keyboard Shortcut</t>
        </is>
      </c>
      <c r="E14" s="5" t="inlineStr"/>
      <c r="F14" s="5" t="inlineStr"/>
    </row>
    <row r="15" ht="22" customHeight="1">
      <c r="A15" s="5" t="inlineStr">
        <is>
          <t>Keyboard Shortcuts Overlay</t>
        </is>
      </c>
      <c r="B15" s="5" t="inlineStr">
        <is>
          <t>Overlay showing all keyboard shortcuts</t>
        </is>
      </c>
      <c r="C15" s="5" t="inlineStr">
        <is>
          <t>ShortcutsOverlay</t>
        </is>
      </c>
      <c r="D15" s="5" t="inlineStr">
        <is>
          <t>Keyboard Shortcut</t>
        </is>
      </c>
      <c r="E15" s="5" t="inlineStr"/>
      <c r="F15" s="5" t="inlineStr"/>
    </row>
    <row r="16" ht="22" customHeight="1">
      <c r="A16" s="5" t="inlineStr">
        <is>
          <t>Keyboard Shortcuts Registry</t>
        </is>
      </c>
      <c r="B16" s="5" t="inlineStr">
        <is>
          <t>Cmd+1–6 bound to main views (Dashboard/Reports)</t>
        </is>
      </c>
      <c r="C16" s="5" t="inlineStr">
        <is>
          <t>Hotkeys</t>
        </is>
      </c>
      <c r="D16" s="5" t="inlineStr">
        <is>
          <t>Keyboard Shortcut</t>
        </is>
      </c>
      <c r="E16" s="5" t="inlineStr"/>
      <c r="F16" s="5" t="inlineStr"/>
    </row>
    <row r="17" ht="22" customHeight="1">
      <c r="A17" s="5" t="inlineStr">
        <is>
          <t>Mobile Auto-Redirect</t>
        </is>
      </c>
      <c r="B17" s="5" t="inlineStr">
        <is>
          <t>Viewports &lt;768px auto-redirect to /mobile shell, with mapping for payments/inventory/pick/intake/catalog/contacts</t>
        </is>
      </c>
      <c r="C17" s="5" t="inlineStr">
        <is>
          <t>App (LocationSync)</t>
        </is>
      </c>
      <c r="D17" s="5" t="inlineStr">
        <is>
          <t>Routing</t>
        </is>
      </c>
      <c r="E17" s="5" t="inlineStr"/>
      <c r="F17" s="5" t="inlineStr"/>
    </row>
    <row r="18" ht="22" customHeight="1">
      <c r="A18" s="5" t="inlineStr">
        <is>
          <t>Mobile Shell</t>
        </is>
      </c>
      <c r="B18" s="5" t="inlineStr">
        <is>
          <t>Mobile-optimized shell at /mobile/* with own bottom-tab-style navigation. Routes: /mobile/dashboard, /mobile/inventory, /mobile/catalog, /mobile/payments, /mobile/contacts, /mobile/contacts/:id, /mobile/pick, /mobile/intake</t>
        </is>
      </c>
      <c r="C18" s="5" t="inlineStr">
        <is>
          <t>MobileShell</t>
        </is>
      </c>
      <c r="D18" s="5" t="inlineStr">
        <is>
          <t>Mobile</t>
        </is>
      </c>
      <c r="E18" s="5" t="inlineStr">
        <is>
          <t>N/A (mobile)</t>
        </is>
      </c>
      <c r="F18" s="5" t="inlineStr">
        <is>
          <t>2026-06-25: mobile routes now use React Router under /mobile/*</t>
        </is>
      </c>
    </row>
    <row r="19" ht="22" customHeight="1">
      <c r="A19" s="5" t="inlineStr">
        <is>
          <t>Feedback Capture Widget</t>
        </is>
      </c>
      <c r="B19" s="5" t="inlineStr">
        <is>
          <t>Crikket-based in-app feedback capture (screenshot + annotation)</t>
        </is>
      </c>
      <c r="C19" s="5" t="inlineStr">
        <is>
          <t>FeedbackCapture</t>
        </is>
      </c>
      <c r="D19" s="5" t="inlineStr">
        <is>
          <t>Shared Component</t>
        </is>
      </c>
      <c r="E19" s="5" t="inlineStr"/>
      <c r="F19" s="5" t="inlineStr"/>
    </row>
    <row r="20" ht="22" customHeight="1">
      <c r="A20" s="5" t="inlineStr">
        <is>
          <t>Toast Center</t>
        </is>
      </c>
      <c r="B20" s="5" t="inlineStr">
        <is>
          <t>Centralized toast notification display for command results</t>
        </is>
      </c>
      <c r="C20" s="5" t="inlineStr">
        <is>
          <t>ToastCenter</t>
        </is>
      </c>
      <c r="D20" s="5" t="inlineStr">
        <is>
          <t>Shared Component</t>
        </is>
      </c>
      <c r="E20" s="5" t="inlineStr"/>
      <c r="F20" s="5" t="inlineStr"/>
    </row>
    <row r="21" ht="22" customHeight="1">
      <c r="A21" s="5" t="inlineStr">
        <is>
          <t>Confirm Root</t>
        </is>
      </c>
      <c r="B21" s="5" t="inlineStr">
        <is>
          <t>Confirmation dialog root for destructive actions</t>
        </is>
      </c>
      <c r="C21" s="5" t="inlineStr">
        <is>
          <t>ConfirmRoot</t>
        </is>
      </c>
      <c r="D21" s="5" t="inlineStr">
        <is>
          <t>Shared Component</t>
        </is>
      </c>
      <c r="E21" s="5" t="inlineStr"/>
      <c r="F21" s="5" t="inlineStr"/>
    </row>
    <row r="22" ht="22" customHeight="1">
      <c r="A22" s="5" t="inlineStr">
        <is>
          <t>Context Drawer</t>
        </is>
      </c>
      <c r="B22" s="5" t="inlineStr">
        <is>
          <t>Right-side context drawer showing entity details (canvas grammar feature)</t>
        </is>
      </c>
      <c r="C22" s="5" t="inlineStr">
        <is>
          <t>ContextDrawer</t>
        </is>
      </c>
      <c r="D22" s="5" t="inlineStr">
        <is>
          <t>Shared Component</t>
        </is>
      </c>
      <c r="E22" s="5" t="inlineStr"/>
      <c r="F22" s="5" t="inlineStr"/>
    </row>
    <row r="23" ht="22" customHeight="1">
      <c r="A23" s="5" t="inlineStr">
        <is>
          <t>Identity Ribbon</t>
        </is>
      </c>
      <c r="B23" s="5" t="inlineStr">
        <is>
          <t>Top ribbon showing current user identity context (canvas grammar feature)</t>
        </is>
      </c>
      <c r="C23" s="5" t="inlineStr">
        <is>
          <t>IdentityRibbon</t>
        </is>
      </c>
      <c r="D23" s="5" t="inlineStr">
        <is>
          <t>Shared Component</t>
        </is>
      </c>
      <c r="E23" s="5" t="inlineStr"/>
      <c r="F23" s="5" t="inlineStr"/>
    </row>
    <row r="24" ht="22" customHeight="1">
      <c r="A24" s="5" t="inlineStr">
        <is>
          <t>Error Boundary</t>
        </is>
      </c>
      <c r="B24" s="5" t="inlineStr">
        <is>
          <t>React error boundary wrapping entire app</t>
        </is>
      </c>
      <c r="C24" s="5" t="inlineStr">
        <is>
          <t>ErrorBoundary</t>
        </is>
      </c>
      <c r="D24" s="5" t="inlineStr">
        <is>
          <t>Shared Component</t>
        </is>
      </c>
      <c r="E24" s="5" t="inlineStr"/>
      <c r="F24" s="5" t="inlineStr">
        <is>
          <t>2026-06-19: error boundaries added at multiple levels (router split)</t>
        </is>
      </c>
    </row>
    <row r="25" ht="22" customHeight="1">
      <c r="A25" s="5" t="inlineStr">
        <is>
          <t>Agentation (Copy as Markdown)</t>
        </is>
      </c>
      <c r="B25" s="5" t="inlineStr">
        <is>
          <t>Copy page state as markdown for agent paste</t>
        </is>
      </c>
      <c r="C25" s="5" t="inlineStr">
        <is>
          <t>Agentation</t>
        </is>
      </c>
      <c r="D25" s="5" t="inlineStr">
        <is>
          <t>Shared Component</t>
        </is>
      </c>
      <c r="E25" s="5" t="inlineStr"/>
      <c r="F25" s="5" t="inlineStr"/>
    </row>
    <row r="26" ht="22" customHeight="1">
      <c r="A26" s="5" t="inlineStr">
        <is>
          <t>Server Unreachable Banner</t>
        </is>
      </c>
      <c r="B26" s="5" t="inlineStr">
        <is>
          <t>Red banner when server is unreachable after login with Reconnect button</t>
        </is>
      </c>
      <c r="C26" s="5" t="inlineStr">
        <is>
          <t>App</t>
        </is>
      </c>
      <c r="D26" s="5" t="inlineStr">
        <is>
          <t>Notification</t>
        </is>
      </c>
      <c r="E26" s="5" t="inlineStr"/>
      <c r="F26" s="5" t="inlineStr"/>
    </row>
    <row r="28" ht="26" customHeight="1">
      <c r="A28" s="3">
        <f>== DASHBOARD (Desktop) ===</f>
        <v/>
      </c>
      <c r="B28" s="4" t="inlineStr"/>
      <c r="C28" s="4" t="inlineStr"/>
      <c r="D28" s="4" t="inlineStr"/>
      <c r="E28" s="4" t="inlineStr"/>
      <c r="F28" s="4" t="inlineStr"/>
    </row>
    <row r="29" ht="22" customHeight="1">
      <c r="A29" s="5" t="inlineStr">
        <is>
          <t>Dashboard View</t>
        </is>
      </c>
      <c r="B29" s="5" t="inlineStr">
        <is>
          <t>Owner daily decision view with KPI cards work queues and health checks</t>
        </is>
      </c>
      <c r="C29" s="5" t="inlineStr">
        <is>
          <t>DashboardView</t>
        </is>
      </c>
      <c r="D29" s="5" t="inlineStr">
        <is>
          <t>Page</t>
        </is>
      </c>
      <c r="E29" s="5" t="inlineStr"/>
      <c r="F29" s="5" t="inlineStr">
        <is>
          <t>2026-06-24: router-wire complete (R-07) — URL grammar + GridColDef export unification</t>
        </is>
      </c>
    </row>
    <row r="30" ht="22" customHeight="1">
      <c r="A30" s="5" t="inlineStr">
        <is>
          <t>Refresh Button</t>
        </is>
      </c>
      <c r="B30" s="5" t="inlineStr">
        <is>
          <t>Manually refresh all dashboard data</t>
        </is>
      </c>
      <c r="C30" s="5" t="inlineStr">
        <is>
          <t>DashboardView</t>
        </is>
      </c>
      <c r="D30" s="5" t="inlineStr">
        <is>
          <t>Toolbar Action</t>
        </is>
      </c>
      <c r="E30" s="5" t="inlineStr"/>
      <c r="F30" s="5" t="inlineStr"/>
    </row>
    <row r="31" ht="22" customHeight="1">
      <c r="A31" s="5" t="inlineStr">
        <is>
          <t>KPI Cards</t>
        </is>
      </c>
      <c r="B31" s="5" t="inlineStr">
        <is>
          <t>4 KPI cards (Cash, Payables, Receivables, etc.) — clickable to drill down</t>
        </is>
      </c>
      <c r="C31" s="5" t="inlineStr">
        <is>
          <t>DashboardView</t>
        </is>
      </c>
      <c r="D31" s="5" t="inlineStr">
        <is>
          <t>Panel / Widget</t>
        </is>
      </c>
      <c r="E31" s="5" t="inlineStr"/>
      <c r="F31" s="5" t="inlineStr"/>
    </row>
    <row r="32" ht="22" customHeight="1">
      <c r="A32" s="5" t="inlineStr">
        <is>
          <t>KPI Drilldown Grid</t>
        </is>
      </c>
      <c r="B32" s="5" t="inlineStr">
        <is>
          <t>Grid showing source data when a KPI card is clicked</t>
        </is>
      </c>
      <c r="C32" s="5" t="inlineStr">
        <is>
          <t>DashboardView</t>
        </is>
      </c>
      <c r="D32" s="5" t="inlineStr">
        <is>
          <t>Grid (Drilldown)</t>
        </is>
      </c>
      <c r="E32" s="5" t="inlineStr"/>
      <c r="F32" s="5" t="inlineStr"/>
    </row>
    <row r="33" ht="22" customHeight="1">
      <c r="A33" s="5" t="inlineStr">
        <is>
          <t>Cash KPI Drilldown with Buckets</t>
        </is>
      </c>
      <c r="B33" s="5" t="inlineStr">
        <is>
          <t>Cash KPI drilldown grouped into expandable location buckets</t>
        </is>
      </c>
      <c r="C33" s="5" t="inlineStr">
        <is>
          <t>DashboardView</t>
        </is>
      </c>
      <c r="D33" s="5" t="inlineStr">
        <is>
          <t>Grid (Drilldown)</t>
        </is>
      </c>
      <c r="E33" s="5" t="inlineStr"/>
      <c r="F33" s="5" t="inlineStr"/>
    </row>
    <row r="34" ht="22" customHeight="1">
      <c r="A34" s="5" t="inlineStr">
        <is>
          <t>Today Focus Panel</t>
        </is>
      </c>
      <c r="B34" s="5" t="inlineStr">
        <is>
          <t>Workspace panel: Top Decisions + summary tiles (Open Orders, Intake Ready)</t>
        </is>
      </c>
      <c r="C34" s="5" t="inlineStr">
        <is>
          <t>DashboardView</t>
        </is>
      </c>
      <c r="D34" s="5" t="inlineStr">
        <is>
          <t>Panel</t>
        </is>
      </c>
      <c r="E34" s="5" t="inlineStr"/>
      <c r="F34" s="5" t="inlineStr"/>
    </row>
    <row r="35" ht="22" customHeight="1">
      <c r="A35" s="5" t="inlineStr">
        <is>
          <t>Today's Top Decisions (0-3)</t>
        </is>
      </c>
      <c r="B35" s="5" t="inlineStr">
        <is>
          <t>Top 3 urgent work queue items — clicking navigates to relevant view</t>
        </is>
      </c>
      <c r="C35" s="5" t="inlineStr">
        <is>
          <t>DashboardView</t>
        </is>
      </c>
      <c r="D35" s="5" t="inlineStr">
        <is>
          <t>Navigation / Widget</t>
        </is>
      </c>
      <c r="E35" s="5" t="inlineStr"/>
      <c r="F35" s="5" t="inlineStr"/>
    </row>
    <row r="36" ht="22" customHeight="1">
      <c r="A36" s="5" t="inlineStr">
        <is>
          <t>View All Top Decisions</t>
        </is>
      </c>
      <c r="B36" s="5" t="inlineStr">
        <is>
          <t>If &gt;3 decisions, "View all" button scrolls to My Open Work grid</t>
        </is>
      </c>
      <c r="C36" s="5" t="inlineStr">
        <is>
          <t>DashboardView</t>
        </is>
      </c>
      <c r="D36" s="5" t="inlineStr">
        <is>
          <t>Navigation</t>
        </is>
      </c>
      <c r="E36" s="5" t="inlineStr"/>
      <c r="F36" s="5" t="inlineStr"/>
    </row>
    <row r="37" ht="22" customHeight="1">
      <c r="A37" s="5" t="inlineStr">
        <is>
          <t>Today Focus Tiles</t>
        </is>
      </c>
      <c r="B37" s="5" t="inlineStr">
        <is>
          <t>2 count tiles: Open Orders, Intake Ready — click to navigate pre-filtered</t>
        </is>
      </c>
      <c r="C37" s="5" t="inlineStr">
        <is>
          <t>DashboardView</t>
        </is>
      </c>
      <c r="D37" s="5" t="inlineStr">
        <is>
          <t>Navigation / Widget</t>
        </is>
      </c>
      <c r="E37" s="5" t="inlineStr"/>
      <c r="F37" s="5" t="inlineStr"/>
    </row>
    <row r="38" ht="22" customHeight="1">
      <c r="A38" s="5" t="inlineStr">
        <is>
          <t>Pending Work Queues Panel</t>
        </is>
      </c>
      <c r="B38" s="5" t="inlineStr">
        <is>
          <t>List of work queues (Intake/Sales/Payments) with item counts + click to navigate</t>
        </is>
      </c>
      <c r="C38" s="5" t="inlineStr">
        <is>
          <t>DashboardView</t>
        </is>
      </c>
      <c r="D38" s="5" t="inlineStr">
        <is>
          <t>Panel</t>
        </is>
      </c>
      <c r="E38" s="5" t="inlineStr"/>
      <c r="F38" s="5" t="inlineStr"/>
    </row>
    <row r="39" ht="22" customHeight="1">
      <c r="A39" s="5" t="inlineStr">
        <is>
          <t>Health Checks Status</t>
        </is>
      </c>
      <c r="B39" s="5" t="inlineStr">
        <is>
          <t>Status pill showing if system health checks are passing</t>
        </is>
      </c>
      <c r="C39" s="5" t="inlineStr">
        <is>
          <t>DashboardView</t>
        </is>
      </c>
      <c r="D39" s="5" t="inlineStr">
        <is>
          <t>Panel / Widget</t>
        </is>
      </c>
      <c r="E39" s="5" t="inlineStr"/>
      <c r="F39" s="5" t="inlineStr"/>
    </row>
    <row r="40" ht="22" customHeight="1">
      <c r="A40" s="5" t="inlineStr">
        <is>
          <t>My Open Work Grid</t>
        </is>
      </c>
      <c r="B40" s="5" t="inlineStr">
        <is>
          <t>AG Grid of all work queue items assigned to current user</t>
        </is>
      </c>
      <c r="C40" s="5" t="inlineStr">
        <is>
          <t>DashboardView</t>
        </is>
      </c>
      <c r="D40" s="5" t="inlineStr">
        <is>
          <t>Grid</t>
        </is>
      </c>
      <c r="E40" s="5" t="inlineStr"/>
      <c r="F40" s="5" t="inlineStr"/>
    </row>
    <row r="41" ht="22" customHeight="1">
      <c r="A41" s="5" t="inlineStr">
        <is>
          <t>My Open Work — Snooze</t>
        </is>
      </c>
      <c r="B41" s="5" t="inlineStr">
        <is>
          <t>Inline action to snooze a work item for 24 hours (local)</t>
        </is>
      </c>
      <c r="C41" s="5" t="inlineStr">
        <is>
          <t>DashboardView</t>
        </is>
      </c>
      <c r="D41" s="5" t="inlineStr">
        <is>
          <t>Inline Action</t>
        </is>
      </c>
      <c r="E41" s="5" t="inlineStr"/>
      <c r="F41" s="5" t="inlineStr"/>
    </row>
    <row r="42" ht="22" customHeight="1">
      <c r="A42" s="5" t="inlineStr">
        <is>
          <t>My Open Work — Dismiss Matchmaking</t>
        </is>
      </c>
      <c r="B42" s="5" t="inlineStr">
        <is>
          <t>Inline action to dismiss matchmaking items for 30 days</t>
        </is>
      </c>
      <c r="C42" s="5" t="inlineStr">
        <is>
          <t>DashboardView</t>
        </is>
      </c>
      <c r="D42" s="5" t="inlineStr">
        <is>
          <t>Inline Action</t>
        </is>
      </c>
      <c r="E42" s="5" t="inlineStr"/>
      <c r="F42" s="5" t="inlineStr"/>
    </row>
    <row r="43" ht="22" customHeight="1">
      <c r="A43" s="5" t="inlineStr">
        <is>
          <t>Credit Watch Panel</t>
        </is>
      </c>
      <c r="B43" s="5" t="inlineStr">
        <is>
          <t>Customers closest to/over credit limit (manager/owner only) — click to navigate</t>
        </is>
      </c>
      <c r="C43" s="5" t="inlineStr">
        <is>
          <t>DashboardView</t>
        </is>
      </c>
      <c r="D43" s="5" t="inlineStr">
        <is>
          <t>Panel</t>
        </is>
      </c>
      <c r="E43" s="5" t="inlineStr"/>
      <c r="F43" s="5" t="inlineStr"/>
    </row>
    <row r="44" ht="22" customHeight="1">
      <c r="A44" s="5" t="inlineStr">
        <is>
          <t>Your Drafts Panel</t>
        </is>
      </c>
      <c r="B44" s="5" t="inlineStr">
        <is>
          <t>All draft POs/Sales Orders by current user — click to navigate to draft</t>
        </is>
      </c>
      <c r="C44" s="5" t="inlineStr">
        <is>
          <t>DashboardView</t>
        </is>
      </c>
      <c r="D44" s="5" t="inlineStr">
        <is>
          <t>Panel</t>
        </is>
      </c>
      <c r="E44" s="5" t="inlineStr"/>
      <c r="F44" s="5" t="inlineStr"/>
    </row>
    <row r="45" ht="22" customHeight="1">
      <c r="A45" s="5" t="inlineStr">
        <is>
          <t>Recent Activity Panel</t>
        </is>
      </c>
      <c r="B45" s="5" t="inlineStr">
        <is>
          <t>Log of recent commands run by all users</t>
        </is>
      </c>
      <c r="C45" s="5" t="inlineStr">
        <is>
          <t>DashboardView</t>
        </is>
      </c>
      <c r="D45" s="5" t="inlineStr">
        <is>
          <t>Panel</t>
        </is>
      </c>
      <c r="E45" s="5" t="inlineStr"/>
      <c r="F45" s="5" t="inlineStr"/>
    </row>
    <row r="47" ht="26" customHeight="1">
      <c r="A47" s="3">
        <f>== PURCHASE ORDERS ===</f>
        <v/>
      </c>
      <c r="B47" s="4" t="inlineStr"/>
      <c r="C47" s="4" t="inlineStr"/>
      <c r="D47" s="4" t="inlineStr"/>
      <c r="E47" s="4" t="inlineStr"/>
      <c r="F47" s="4" t="inlineStr"/>
    </row>
    <row r="48" ht="22" customHeight="1">
      <c r="A48" s="5" t="inlineStr">
        <is>
          <t>Purchase Orders Grid</t>
        </is>
      </c>
      <c r="B48" s="5" t="inlineStr">
        <is>
          <t>Main AG Grid of all POs with inline editing</t>
        </is>
      </c>
      <c r="C48" s="5" t="inlineStr">
        <is>
          <t>PurchaseOrdersView</t>
        </is>
      </c>
      <c r="D48" s="5" t="inlineStr">
        <is>
          <t>Grid</t>
        </is>
      </c>
      <c r="E48" s="5" t="inlineStr"/>
      <c r="F48" s="5" t="inlineStr"/>
    </row>
    <row r="49" ht="22" customHeight="1">
      <c r="A49" s="5" t="inlineStr">
        <is>
          <t>PO Grid — Inline Editing</t>
        </is>
      </c>
      <c r="B49" s="5" t="inlineStr">
        <is>
          <t>Cells editable inline: Expected Date, Notes, Payment Terms</t>
        </is>
      </c>
      <c r="C49" s="5" t="inlineStr">
        <is>
          <t>PurchaseOrdersView</t>
        </is>
      </c>
      <c r="D49" s="5" t="inlineStr">
        <is>
          <t>Inline Action</t>
        </is>
      </c>
      <c r="E49" s="5" t="inlineStr"/>
      <c r="F49" s="5" t="inlineStr"/>
    </row>
    <row r="50" ht="22" customHeight="1">
      <c r="A50" s="5" t="inlineStr">
        <is>
          <t>Filter Preset Strip</t>
        </is>
      </c>
      <c r="B50" s="5" t="inlineStr">
        <is>
          <t>Pre-configured filters: Active, Ordered, Finalized</t>
        </is>
      </c>
      <c r="C50" s="5" t="inlineStr">
        <is>
          <t>PurchaseOrdersView</t>
        </is>
      </c>
      <c r="D50" s="5" t="inlineStr">
        <is>
          <t>Filter</t>
        </is>
      </c>
      <c r="E50" s="5" t="inlineStr"/>
      <c r="F50" s="5" t="inlineStr"/>
    </row>
    <row r="51" ht="22" customHeight="1">
      <c r="A51" s="5" t="inlineStr">
        <is>
          <t>PO Status Action Bar</t>
        </is>
      </c>
      <c r="B51" s="5" t="inlineStr">
        <is>
          <t>Context-sensitive toolbar for selected POs with actions based on status</t>
        </is>
      </c>
      <c r="C51" s="5" t="inlineStr">
        <is>
          <t>PurchaseOrdersView</t>
        </is>
      </c>
      <c r="D51" s="5" t="inlineStr">
        <is>
          <t>Toolbar Action</t>
        </is>
      </c>
      <c r="E51" s="5" t="inlineStr"/>
      <c r="F51" s="5" t="inlineStr"/>
    </row>
    <row r="52" ht="22" customHeight="1">
      <c r="A52" s="5" t="inlineStr">
        <is>
          <t>Action: Finalize PO</t>
        </is>
      </c>
      <c r="B52" s="5" t="inlineStr">
        <is>
          <t>Move draft PO to finalized</t>
        </is>
      </c>
      <c r="C52" s="5" t="inlineStr">
        <is>
          <t>PurchaseOrdersView</t>
        </is>
      </c>
      <c r="D52" s="5" t="inlineStr">
        <is>
          <t>Workflow (Status)</t>
        </is>
      </c>
      <c r="E52" s="5" t="inlineStr"/>
      <c r="F52" s="5" t="inlineStr"/>
    </row>
    <row r="53" ht="22" customHeight="1">
      <c r="A53" s="5" t="inlineStr">
        <is>
          <t>Action: Approve PO</t>
        </is>
      </c>
      <c r="B53" s="5" t="inlineStr">
        <is>
          <t>Move finalized PO to approved (manager+ only)</t>
        </is>
      </c>
      <c r="C53" s="5" t="inlineStr">
        <is>
          <t>PurchaseOrdersView</t>
        </is>
      </c>
      <c r="D53" s="5" t="inlineStr">
        <is>
          <t>Workflow (Status)</t>
        </is>
      </c>
      <c r="E53" s="5" t="inlineStr"/>
      <c r="F53" s="5" t="inlineStr"/>
    </row>
    <row r="54" ht="22" customHeight="1">
      <c r="A54" s="5" t="inlineStr">
        <is>
          <t>Action: Receive PO (Full)</t>
        </is>
      </c>
      <c r="B54" s="5" t="inlineStr">
        <is>
          <t>Create intake drafts for all outstanding lines on approved/ordered PO</t>
        </is>
      </c>
      <c r="C54" s="5" t="inlineStr">
        <is>
          <t>PurchaseOrdersView</t>
        </is>
      </c>
      <c r="D54" s="5" t="inlineStr">
        <is>
          <t>Workflow (Status)</t>
        </is>
      </c>
      <c r="E54" s="5" t="inlineStr"/>
      <c r="F54" s="5" t="inlineStr"/>
    </row>
    <row r="55" ht="22" customHeight="1">
      <c r="A55" s="5" t="inlineStr">
        <is>
          <t>Action: Receive Selected Qty</t>
        </is>
      </c>
      <c r="B55" s="5" t="inlineStr">
        <is>
          <t>Create intake drafts for specific quantities entered in lines grid</t>
        </is>
      </c>
      <c r="C55" s="5" t="inlineStr">
        <is>
          <t>PurchaseOrdersView</t>
        </is>
      </c>
      <c r="D55" s="5" t="inlineStr">
        <is>
          <t>Workflow (Status)</t>
        </is>
      </c>
      <c r="E55" s="5" t="inlineStr"/>
      <c r="F55" s="5" t="inlineStr"/>
    </row>
    <row r="56" ht="22" customHeight="1">
      <c r="A56" s="5" t="inlineStr">
        <is>
          <t>Action: Unfinalize</t>
        </is>
      </c>
      <c r="B56" s="5" t="inlineStr">
        <is>
          <t>Return finalized PO to draft</t>
        </is>
      </c>
      <c r="C56" s="5" t="inlineStr">
        <is>
          <t>PurchaseOrdersView</t>
        </is>
      </c>
      <c r="D56" s="5" t="inlineStr">
        <is>
          <t>Workflow (Status)</t>
        </is>
      </c>
      <c r="E56" s="5" t="inlineStr"/>
      <c r="F56" s="5" t="inlineStr"/>
    </row>
    <row r="57" ht="22" customHeight="1">
      <c r="A57" s="5" t="inlineStr">
        <is>
          <t>Action: Record Prepayment</t>
        </is>
      </c>
      <c r="B57" s="5" t="inlineStr">
        <is>
          <t>Open dialog to record prepayment for approved PO</t>
        </is>
      </c>
      <c r="C57" s="5" t="inlineStr">
        <is>
          <t>PurchaseOrdersView</t>
        </is>
      </c>
      <c r="D57" s="5" t="inlineStr">
        <is>
          <t>Workflow</t>
        </is>
      </c>
      <c r="E57" s="5" t="inlineStr"/>
      <c r="F57" s="5" t="inlineStr"/>
    </row>
    <row r="58" ht="22" customHeight="1">
      <c r="A58" s="5" t="inlineStr">
        <is>
          <t>Action: Cancel PO</t>
        </is>
      </c>
      <c r="B58" s="5" t="inlineStr">
        <is>
          <t>Move PO to cancelled status</t>
        </is>
      </c>
      <c r="C58" s="5" t="inlineStr">
        <is>
          <t>PurchaseOrdersView</t>
        </is>
      </c>
      <c r="D58" s="5" t="inlineStr">
        <is>
          <t>Workflow (Status)</t>
        </is>
      </c>
      <c r="E58" s="5" t="inlineStr"/>
      <c r="F58" s="5" t="inlineStr"/>
    </row>
    <row r="59" ht="22" customHeight="1">
      <c r="A59" s="5" t="inlineStr">
        <is>
          <t>PO Lines Grid</t>
        </is>
      </c>
      <c r="B59" s="5" t="inlineStr">
        <is>
          <t>Secondary grid showing line items for selected PO</t>
        </is>
      </c>
      <c r="C59" s="5" t="inlineStr">
        <is>
          <t>PurchaseOrdersView</t>
        </is>
      </c>
      <c r="D59" s="5" t="inlineStr">
        <is>
          <t>Grid (Master-Detail)</t>
        </is>
      </c>
      <c r="E59" s="5" t="inlineStr"/>
      <c r="F59" s="5" t="inlineStr"/>
    </row>
    <row r="60" ht="22" customHeight="1">
      <c r="A60" s="5" t="inlineStr">
        <is>
          <t>PO Lines — Receive Qty Column</t>
        </is>
      </c>
      <c r="B60" s="5" t="inlineStr">
        <is>
          <t>Editable column on receivable POs for partial receiving</t>
        </is>
      </c>
      <c r="C60" s="5" t="inlineStr">
        <is>
          <t>PurchaseOrdersView</t>
        </is>
      </c>
      <c r="D60" s="5" t="inlineStr">
        <is>
          <t>Inline Action</t>
        </is>
      </c>
      <c r="E60" s="5" t="inlineStr"/>
      <c r="F60" s="5" t="inlineStr"/>
    </row>
    <row r="61" ht="22" customHeight="1">
      <c r="A61" s="5" t="inlineStr">
        <is>
          <t>PO Lines — Draft Lines Editing</t>
        </is>
      </c>
      <c r="B61" s="5" t="inlineStr">
        <is>
          <t>Editable cells: Product, Qty, Cost, Notes (draft POs only)</t>
        </is>
      </c>
      <c r="C61" s="5" t="inlineStr">
        <is>
          <t>PurchaseOrdersView</t>
        </is>
      </c>
      <c r="D61" s="5" t="inlineStr">
        <is>
          <t>Inline Action</t>
        </is>
      </c>
      <c r="E61" s="5" t="inlineStr"/>
      <c r="F61" s="5" t="inlineStr"/>
    </row>
    <row r="62" ht="22" customHeight="1">
      <c r="A62" s="5" t="inlineStr">
        <is>
          <t>PO Lines — Draft Selected Lines</t>
        </is>
      </c>
      <c r="B62" s="5" t="inlineStr">
        <is>
          <t>Toolbar action to draft intake for only selected lines</t>
        </is>
      </c>
      <c r="C62" s="5" t="inlineStr">
        <is>
          <t>PurchaseOrdersView</t>
        </is>
      </c>
      <c r="D62" s="5" t="inlineStr">
        <is>
          <t>Toolbar Action</t>
        </is>
      </c>
      <c r="E62" s="5" t="inlineStr"/>
      <c r="F62" s="5" t="inlineStr"/>
    </row>
    <row r="63" ht="22" customHeight="1">
      <c r="A63" s="5" t="inlineStr">
        <is>
          <t>New PO Button</t>
        </is>
      </c>
      <c r="B63" s="5" t="inlineStr">
        <is>
          <t>Open the New PO authoring workspace</t>
        </is>
      </c>
      <c r="C63" s="5" t="inlineStr">
        <is>
          <t>PurchaseOrdersView</t>
        </is>
      </c>
      <c r="D63" s="5" t="inlineStr">
        <is>
          <t>Toolbar Action</t>
        </is>
      </c>
      <c r="E63" s="5" t="inlineStr"/>
      <c r="F63" s="5" t="inlineStr"/>
    </row>
    <row r="64" ht="22" customHeight="1">
      <c r="A64" s="5" t="inlineStr">
        <is>
          <t>PO Authoring Workspace</t>
        </is>
      </c>
      <c r="B64" s="5" t="inlineStr">
        <is>
          <t>Inline panel for creating new PO: header details + line-item grid</t>
        </is>
      </c>
      <c r="C64" s="5" t="inlineStr">
        <is>
          <t>PurchaseOrdersView</t>
        </is>
      </c>
      <c r="D64" s="5" t="inlineStr">
        <is>
          <t>Panel</t>
        </is>
      </c>
      <c r="E64" s="5" t="inlineStr"/>
      <c r="F64" s="5" t="inlineStr"/>
    </row>
    <row r="65" ht="22" customHeight="1">
      <c r="A65" s="5" t="inlineStr">
        <is>
          <t>PO Authoring — Header Fields</t>
        </is>
      </c>
      <c r="B65" s="5" t="inlineStr">
        <is>
          <t>Fields: Vendor selector, Expected Date, Notes, Payment Terms, Prepayment Amount</t>
        </is>
      </c>
      <c r="C65" s="5" t="inlineStr">
        <is>
          <t>PurchaseOrdersView</t>
        </is>
      </c>
      <c r="D65" s="5" t="inlineStr">
        <is>
          <t>Form</t>
        </is>
      </c>
      <c r="E65" s="5" t="inlineStr"/>
      <c r="F65" s="5" t="inlineStr"/>
    </row>
    <row r="66" ht="22" customHeight="1">
      <c r="A66" s="5" t="inlineStr">
        <is>
          <t>PO Authoring — Add New Vendor</t>
        </is>
      </c>
      <c r="B66" s="5" t="inlineStr">
        <is>
          <t>Inline form to create new vendor from PO workspace</t>
        </is>
      </c>
      <c r="C66" s="5" t="inlineStr">
        <is>
          <t>PurchaseOrdersView</t>
        </is>
      </c>
      <c r="D66" s="5" t="inlineStr">
        <is>
          <t>Form</t>
        </is>
      </c>
      <c r="E66" s="5" t="inlineStr"/>
      <c r="F66" s="5" t="inlineStr"/>
    </row>
    <row r="67" ht="22" customHeight="1">
      <c r="A67" s="5" t="inlineStr">
        <is>
          <t>PO Authoring — Add Referee Credit</t>
        </is>
      </c>
      <c r="B67" s="5" t="inlineStr">
        <is>
          <t>Dropdown to associate referee for credit accrual</t>
        </is>
      </c>
      <c r="C67" s="5" t="inlineStr">
        <is>
          <t>PurchaseOrdersView</t>
        </is>
      </c>
      <c r="D67" s="5" t="inlineStr">
        <is>
          <t>Form</t>
        </is>
      </c>
      <c r="E67" s="5" t="inlineStr"/>
      <c r="F67" s="5" t="inlineStr"/>
    </row>
    <row r="68" ht="22" customHeight="1">
      <c r="A68" s="5" t="inlineStr">
        <is>
          <t>PO Authoring — Draft Lines Grid</t>
        </is>
      </c>
      <c r="B68" s="5" t="inlineStr">
        <is>
          <t>Editable AG Grid for adding line items to new PO</t>
        </is>
      </c>
      <c r="C68" s="5" t="inlineStr">
        <is>
          <t>PurchaseOrdersView</t>
        </is>
      </c>
      <c r="D68" s="5" t="inlineStr">
        <is>
          <t>Grid (Editable)</t>
        </is>
      </c>
      <c r="E68" s="5" t="inlineStr"/>
      <c r="F68" s="5" t="inlineStr"/>
    </row>
    <row r="69" ht="22" customHeight="1">
      <c r="A69" s="5" t="inlineStr">
        <is>
          <t>PO Authoring — Add Line Button</t>
        </is>
      </c>
      <c r="B69" s="5" t="inlineStr">
        <is>
          <t>Toolbar button to add blank row to draft lines</t>
        </is>
      </c>
      <c r="C69" s="5" t="inlineStr">
        <is>
          <t>PurchaseOrdersView</t>
        </is>
      </c>
      <c r="D69" s="5" t="inlineStr">
        <is>
          <t>Toolbar Action</t>
        </is>
      </c>
      <c r="E69" s="5" t="inlineStr"/>
      <c r="F69" s="5" t="inlineStr"/>
    </row>
    <row r="70" ht="22" customHeight="1">
      <c r="A70" s="5" t="inlineStr">
        <is>
          <t>PO Authoring — Save Draft</t>
        </is>
      </c>
      <c r="B70" s="5" t="inlineStr">
        <is>
          <t>Save current workspace as draft PO</t>
        </is>
      </c>
      <c r="C70" s="5" t="inlineStr">
        <is>
          <t>PurchaseOrdersView</t>
        </is>
      </c>
      <c r="D70" s="5" t="inlineStr">
        <is>
          <t>Workflow</t>
        </is>
      </c>
      <c r="E70" s="5" t="inlineStr"/>
      <c r="F70" s="5" t="inlineStr"/>
    </row>
    <row r="71" ht="22" customHeight="1">
      <c r="A71" s="5" t="inlineStr">
        <is>
          <t>PO Authoring — Approve PO</t>
        </is>
      </c>
      <c r="B71" s="5" t="inlineStr">
        <is>
          <t>Save, finalize, and approve in one step</t>
        </is>
      </c>
      <c r="C71" s="5" t="inlineStr">
        <is>
          <t>PurchaseOrdersView</t>
        </is>
      </c>
      <c r="D71" s="5" t="inlineStr">
        <is>
          <t>Workflow</t>
        </is>
      </c>
      <c r="E71" s="5" t="inlineStr"/>
      <c r="F71" s="5" t="inlineStr"/>
    </row>
    <row r="72" ht="22" customHeight="1">
      <c r="A72" s="5" t="inlineStr">
        <is>
          <t>PO Authoring — Vendor Context Panel</t>
        </is>
      </c>
      <c r="B72" s="5" t="inlineStr">
        <is>
          <t>Side panel: vendor terms, open bills, historical products for quick-add</t>
        </is>
      </c>
      <c r="C72" s="5" t="inlineStr">
        <is>
          <t>PurchaseOrdersView</t>
        </is>
      </c>
      <c r="D72" s="5" t="inlineStr">
        <is>
          <t>Panel</t>
        </is>
      </c>
      <c r="E72" s="5" t="inlineStr"/>
      <c r="F72" s="5" t="inlineStr"/>
    </row>
    <row r="73" ht="22" customHeight="1">
      <c r="A73" s="5" t="inlineStr">
        <is>
          <t>PO Authoring — Market Signals</t>
        </is>
      </c>
      <c r="B73" s="5" t="inlineStr">
        <is>
          <t>Section showing current inventory levels + pricing for relevant categories</t>
        </is>
      </c>
      <c r="C73" s="5" t="inlineStr">
        <is>
          <t>PurchaseOrdersView</t>
        </is>
      </c>
      <c r="D73" s="5" t="inlineStr">
        <is>
          <t>Panel</t>
        </is>
      </c>
      <c r="E73" s="5" t="inlineStr"/>
      <c r="F73" s="5" t="inlineStr"/>
    </row>
    <row r="74" ht="22" customHeight="1">
      <c r="A74" s="5" t="inlineStr">
        <is>
          <t>Vendor Context Drawer</t>
        </is>
      </c>
      <c r="B74" s="5" t="inlineStr">
        <is>
          <t>Drawer with detailed vendor context</t>
        </is>
      </c>
      <c r="C74" s="5" t="inlineStr">
        <is>
          <t>PurchaseOrdersView</t>
        </is>
      </c>
      <c r="D74" s="5" t="inlineStr">
        <is>
          <t>Drawer</t>
        </is>
      </c>
      <c r="E74" s="5" t="inlineStr"/>
      <c r="F74" s="5" t="inlineStr"/>
    </row>
    <row r="75" ht="22" customHeight="1">
      <c r="A75" s="5" t="inlineStr">
        <is>
          <t>Add Referee Relationship Drawer</t>
        </is>
      </c>
      <c r="B75" s="5" t="inlineStr">
        <is>
          <t>Drawer form for creating referee-vendor relationship</t>
        </is>
      </c>
      <c r="C75" s="5" t="inlineStr">
        <is>
          <t>PurchaseOrdersView</t>
        </is>
      </c>
      <c r="D75" s="5" t="inlineStr">
        <is>
          <t>Drawer</t>
        </is>
      </c>
      <c r="E75" s="5" t="inlineStr"/>
      <c r="F75" s="5" t="inlineStr"/>
    </row>
    <row r="76" ht="22" customHeight="1">
      <c r="A76" s="5" t="inlineStr">
        <is>
          <t>Record Prepayment Dialog</t>
        </is>
      </c>
      <c r="B76" s="5" t="inlineStr">
        <is>
          <t>Modal for recording prepayment against PO</t>
        </is>
      </c>
      <c r="C76" s="5" t="inlineStr">
        <is>
          <t>PurchaseOrdersView</t>
        </is>
      </c>
      <c r="D76" s="5" t="inlineStr">
        <is>
          <t>Modal</t>
        </is>
      </c>
      <c r="E76" s="5" t="inlineStr"/>
      <c r="F76" s="5" t="inlineStr"/>
    </row>
    <row r="77" ht="22" customHeight="1">
      <c r="A77" s="5" t="inlineStr">
        <is>
          <t>Receipt Preview Overlay</t>
        </is>
      </c>
      <c r="B77" s="5" t="inlineStr">
        <is>
          <t>Overlay displaying vendor receipt preview for finalized PO</t>
        </is>
      </c>
      <c r="C77" s="5" t="inlineStr">
        <is>
          <t>PurchaseOrdersView</t>
        </is>
      </c>
      <c r="D77" s="5" t="inlineStr">
        <is>
          <t>Modal</t>
        </is>
      </c>
      <c r="E77" s="5" t="inlineStr"/>
      <c r="F77" s="5" t="inlineStr"/>
    </row>
    <row r="79" ht="26" customHeight="1">
      <c r="A79" s="3">
        <f>== PURCHASE RECEIPTS ===</f>
        <v/>
      </c>
      <c r="B79" s="4" t="inlineStr"/>
      <c r="C79" s="4" t="inlineStr"/>
      <c r="D79" s="4" t="inlineStr"/>
      <c r="E79" s="4" t="inlineStr"/>
      <c r="F79" s="4" t="inlineStr"/>
    </row>
    <row r="80" ht="22" customHeight="1">
      <c r="A80" s="5" t="inlineStr">
        <is>
          <t>Purchase Receipts Grid</t>
        </is>
      </c>
      <c r="B80" s="5" t="inlineStr">
        <is>
          <t>AG Grid of all posted receipts: Receipt No, PO No, Vendor, Total, Status, Created At</t>
        </is>
      </c>
      <c r="C80" s="5" t="inlineStr">
        <is>
          <t>PurchaseReceiptsView</t>
        </is>
      </c>
      <c r="D80" s="5" t="inlineStr">
        <is>
          <t>Grid</t>
        </is>
      </c>
      <c r="E80" s="5" t="inlineStr"/>
      <c r="F80" s="5" t="inlineStr"/>
    </row>
    <row r="81" ht="22" customHeight="1">
      <c r="A81" s="5" t="inlineStr">
        <is>
          <t>Receipt Lines Grid</t>
        </is>
      </c>
      <c r="B81" s="5" t="inlineStr">
        <is>
          <t>Secondary grid on selection: Product, Batch Code, Qty, Unit Cost, Subtotal</t>
        </is>
      </c>
      <c r="C81" s="5" t="inlineStr">
        <is>
          <t>PurchaseReceiptsView</t>
        </is>
      </c>
      <c r="D81" s="5" t="inlineStr">
        <is>
          <t>Grid (Master-Detail)</t>
        </is>
      </c>
      <c r="E81" s="5" t="inlineStr"/>
      <c r="F81" s="5" t="inlineStr"/>
    </row>
    <row r="83" ht="26" customHeight="1">
      <c r="A83" s="3">
        <f>== INTAKE ===</f>
        <v/>
      </c>
      <c r="B83" s="4" t="inlineStr"/>
      <c r="C83" s="4" t="inlineStr"/>
      <c r="D83" s="4" t="inlineStr"/>
      <c r="E83" s="4" t="inlineStr"/>
      <c r="F83" s="4" t="inlineStr"/>
    </row>
    <row r="84" ht="22" customHeight="1">
      <c r="A84" s="5" t="inlineStr">
        <is>
          <t>Intake Queue Grid (Master-Detail)</t>
        </is>
      </c>
      <c r="B84" s="5" t="inlineStr">
        <is>
          <t>Master rows = POs, detail rows = intake batches per PO</t>
        </is>
      </c>
      <c r="C84" s="5" t="inlineStr">
        <is>
          <t>IntakeView</t>
        </is>
      </c>
      <c r="D84" s="5" t="inlineStr">
        <is>
          <t>Grid (Master-Detail)</t>
        </is>
      </c>
      <c r="E84" s="5" t="inlineStr"/>
      <c r="F84" s="5" t="inlineStr"/>
    </row>
    <row r="85" ht="22" customHeight="1">
      <c r="A85" s="5" t="inlineStr">
        <is>
          <t>PO Master Row Columns</t>
        </is>
      </c>
      <c r="B85" s="5" t="inlineStr">
        <is>
          <t>PO No, Vendor, Status, Expected/Received Qty, Expected/Verified Cost</t>
        </is>
      </c>
      <c r="C85" s="5" t="inlineStr">
        <is>
          <t>IntakeView</t>
        </is>
      </c>
      <c r="D85" s="5" t="inlineStr">
        <is>
          <t>Grid</t>
        </is>
      </c>
      <c r="E85" s="5" t="inlineStr"/>
      <c r="F85" s="5" t="inlineStr"/>
    </row>
    <row r="86" ht="22" customHeight="1">
      <c r="A86" s="5" t="inlineStr">
        <is>
          <t>Batch Detail Row — Columns</t>
        </is>
      </c>
      <c r="B86" s="5" t="inlineStr">
        <is>
          <t>Batch, Product, Subcategory, Market Name, Expected/Actual Qty, Discrepancy Reason, Unit Cost, Status, Arrival, Media, Notes</t>
        </is>
      </c>
      <c r="C86" s="5" t="inlineStr">
        <is>
          <t>IntakeView</t>
        </is>
      </c>
      <c r="D86" s="5" t="inlineStr">
        <is>
          <t>Grid</t>
        </is>
      </c>
      <c r="E86" s="5" t="inlineStr"/>
      <c r="F86" s="5" t="inlineStr"/>
    </row>
    <row r="87" ht="22" customHeight="1">
      <c r="A87" s="5" t="inlineStr">
        <is>
          <t>Batch Detail Row — Inline Editing</t>
        </is>
      </c>
      <c r="B87" s="5" t="inlineStr">
        <is>
          <t>Editable: Actual Qty, Discrepancy Reason, Arrival Status, Market Name</t>
        </is>
      </c>
      <c r="C87" s="5" t="inlineStr">
        <is>
          <t>IntakeView</t>
        </is>
      </c>
      <c r="D87" s="5" t="inlineStr">
        <is>
          <t>Inline Action</t>
        </is>
      </c>
      <c r="E87" s="5" t="inlineStr"/>
      <c r="F87" s="5" t="inlineStr"/>
    </row>
    <row r="88" ht="22" customHeight="1">
      <c r="A88" s="5" t="inlineStr">
        <is>
          <t>Qty Discrepancy Indicator</t>
        </is>
      </c>
      <c r="B88" s="5" t="inlineStr">
        <is>
          <t>Actual qty cell turns yellow if ≠ expected qty</t>
        </is>
      </c>
      <c r="C88" s="5" t="inlineStr">
        <is>
          <t>IntakeView</t>
        </is>
      </c>
      <c r="D88" s="5" t="inlineStr">
        <is>
          <t>Grid (Visual)</t>
        </is>
      </c>
      <c r="E88" s="5" t="inlineStr"/>
      <c r="F88" s="5" t="inlineStr"/>
    </row>
    <row r="89" ht="22" customHeight="1">
      <c r="A89" s="5" t="inlineStr">
        <is>
          <t>Discrepancy Reason Required Indicator</t>
        </is>
      </c>
      <c r="B89" s="5" t="inlineStr">
        <is>
          <t>Discrepancy reason cell turns red if mismatch exists but no reason provided</t>
        </is>
      </c>
      <c r="C89" s="5" t="inlineStr">
        <is>
          <t>IntakeView</t>
        </is>
      </c>
      <c r="D89" s="5" t="inlineStr">
        <is>
          <t>Grid (Visual)</t>
        </is>
      </c>
      <c r="E89" s="5" t="inlineStr"/>
      <c r="F89" s="5" t="inlineStr"/>
    </row>
    <row r="90" ht="22" customHeight="1">
      <c r="A90" s="5" t="inlineStr">
        <is>
          <t>Action: Verify All Batches (PO)</t>
        </is>
      </c>
      <c r="B90" s="5" t="inlineStr">
        <is>
          <t>Verify all pending batches on a PO at once with confirmation dialog + preview</t>
        </is>
      </c>
      <c r="C90" s="5" t="inlineStr">
        <is>
          <t>IntakeView</t>
        </is>
      </c>
      <c r="D90" s="5" t="inlineStr">
        <is>
          <t>Inline Action / Workflow</t>
        </is>
      </c>
      <c r="E90" s="5" t="inlineStr"/>
      <c r="F90" s="5" t="inlineStr"/>
    </row>
    <row r="91" ht="22" customHeight="1">
      <c r="A91" s="5" t="inlineStr">
        <is>
          <t>Action: Preview Receipt (PO)</t>
        </is>
      </c>
      <c r="B91" s="5" t="inlineStr">
        <is>
          <t>Open drawer previewing purchase receipt for the PO</t>
        </is>
      </c>
      <c r="C91" s="5" t="inlineStr">
        <is>
          <t>IntakeView</t>
        </is>
      </c>
      <c r="D91" s="5" t="inlineStr">
        <is>
          <t>Inline Action / Drawer</t>
        </is>
      </c>
      <c r="E91" s="5" t="inlineStr"/>
      <c r="F91" s="5" t="inlineStr"/>
    </row>
    <row r="92" ht="22" customHeight="1">
      <c r="A92" s="5" t="inlineStr">
        <is>
          <t>Action: Verify Batch (Single)</t>
        </is>
      </c>
      <c r="B92" s="5" t="inlineStr">
        <is>
          <t>Verify a single batch, posting its receipt</t>
        </is>
      </c>
      <c r="C92" s="5" t="inlineStr">
        <is>
          <t>IntakeView</t>
        </is>
      </c>
      <c r="D92" s="5" t="inlineStr">
        <is>
          <t>Workflow</t>
        </is>
      </c>
      <c r="E92" s="5" t="inlineStr"/>
      <c r="F92" s="5" t="inlineStr"/>
    </row>
    <row r="93" ht="22" customHeight="1">
      <c r="A93" s="5" t="inlineStr">
        <is>
          <t>Action: Reject Batch</t>
        </is>
      </c>
      <c r="B93" s="5" t="inlineStr">
        <is>
          <t>Reject a batch with reason dropdown</t>
        </is>
      </c>
      <c r="C93" s="5" t="inlineStr">
        <is>
          <t>IntakeView</t>
        </is>
      </c>
      <c r="D93" s="5" t="inlineStr">
        <is>
          <t>Workflow</t>
        </is>
      </c>
      <c r="E93" s="5" t="inlineStr"/>
      <c r="F93" s="5" t="inlineStr"/>
    </row>
    <row r="94" ht="22" customHeight="1">
      <c r="A94" s="5" t="inlineStr">
        <is>
          <t>Action: Add Note to Batch</t>
        </is>
      </c>
      <c r="B94" s="5" t="inlineStr">
        <is>
          <t>Append a note to a batch</t>
        </is>
      </c>
      <c r="C94" s="5" t="inlineStr">
        <is>
          <t>IntakeView</t>
        </is>
      </c>
      <c r="D94" s="5" t="inlineStr">
        <is>
          <t>Inline Action</t>
        </is>
      </c>
      <c r="E94" s="5" t="inlineStr"/>
      <c r="F94" s="5" t="inlineStr"/>
    </row>
    <row r="95" ht="22" customHeight="1">
      <c r="A95" s="5" t="inlineStr">
        <is>
          <t>Action: Delete Batch (Draft)</t>
        </is>
      </c>
      <c r="B95" s="5" t="inlineStr">
        <is>
          <t>Delete a draft batch with confirmation</t>
        </is>
      </c>
      <c r="C95" s="5" t="inlineStr">
        <is>
          <t>IntakeView</t>
        </is>
      </c>
      <c r="D95" s="5" t="inlineStr">
        <is>
          <t>Inline Action</t>
        </is>
      </c>
      <c r="E95" s="5" t="inlineStr"/>
      <c r="F95" s="5" t="inlineStr"/>
    </row>
    <row r="96" ht="22" customHeight="1">
      <c r="A96" s="5" t="inlineStr">
        <is>
          <t>Action: History/Reverse</t>
        </is>
      </c>
      <c r="B96" s="5" t="inlineStr">
        <is>
          <t>Link to navigate to Recovery view filtered to that batch's command history (posted batches)</t>
        </is>
      </c>
      <c r="C96" s="5" t="inlineStr">
        <is>
          <t>IntakeView</t>
        </is>
      </c>
      <c r="D96" s="5" t="inlineStr">
        <is>
          <t>Navigation</t>
        </is>
      </c>
      <c r="E96" s="5" t="inlineStr"/>
      <c r="F96" s="5" t="inlineStr"/>
    </row>
    <row r="97" ht="22" customHeight="1">
      <c r="A97" s="5" t="inlineStr">
        <is>
          <t>Selection Totals Strip</t>
        </is>
      </c>
      <c r="B97" s="5" t="inlineStr">
        <is>
          <t>Bar showing total selected batch count, quantity, cost</t>
        </is>
      </c>
      <c r="C97" s="5" t="inlineStr">
        <is>
          <t>IntakeView</t>
        </is>
      </c>
      <c r="D97" s="5" t="inlineStr">
        <is>
          <t>Panel</t>
        </is>
      </c>
      <c r="E97" s="5" t="inlineStr"/>
      <c r="F97" s="5" t="inlineStr"/>
    </row>
    <row r="98" ht="22" customHeight="1">
      <c r="A98" s="5" t="inlineStr">
        <is>
          <t>Keyboard Shortcut Hints</t>
        </is>
      </c>
      <c r="B98" s="5" t="inlineStr">
        <is>
          <t>Strip shows shortcuts: Duplicate, Mark Ready, Process</t>
        </is>
      </c>
      <c r="C98" s="5" t="inlineStr">
        <is>
          <t>IntakeView</t>
        </is>
      </c>
      <c r="D98" s="5" t="inlineStr">
        <is>
          <t>Keyboard Shortcut</t>
        </is>
      </c>
      <c r="E98" s="5" t="inlineStr"/>
      <c r="F98" s="5" t="inlineStr"/>
    </row>
    <row r="99" ht="22" customHeight="1">
      <c r="A99" s="5" t="inlineStr">
        <is>
          <t>TSV Paste Support</t>
        </is>
      </c>
      <c r="B99" s="5" t="inlineStr">
        <is>
          <t>Pasting tab-separated data into view shows summary toast</t>
        </is>
      </c>
      <c r="C99" s="5" t="inlineStr">
        <is>
          <t>IntakeView</t>
        </is>
      </c>
      <c r="D99" s="5" t="inlineStr">
        <is>
          <t>Workflow (Input)</t>
        </is>
      </c>
      <c r="E99" s="5" t="inlineStr"/>
      <c r="F99" s="5" t="inlineStr"/>
    </row>
    <row r="100" ht="22" customHeight="1">
      <c r="A100" s="5" t="inlineStr">
        <is>
          <t>Receipt Preview Drawer</t>
        </is>
      </c>
      <c r="B100" s="5" t="inlineStr">
        <is>
          <t>Drawer showing preview of purchase receipt to be generated</t>
        </is>
      </c>
      <c r="C100" s="5" t="inlineStr">
        <is>
          <t>IntakeView</t>
        </is>
      </c>
      <c r="D100" s="5" t="inlineStr">
        <is>
          <t>Drawer</t>
        </is>
      </c>
      <c r="E100" s="5" t="inlineStr"/>
      <c r="F100" s="5" t="inlineStr"/>
    </row>
    <row r="102" ht="26" customHeight="1">
      <c r="A102" s="3">
        <f>== INVENTORY ===</f>
        <v/>
      </c>
      <c r="B102" s="4" t="inlineStr"/>
      <c r="C102" s="4" t="inlineStr"/>
      <c r="D102" s="4" t="inlineStr"/>
      <c r="E102" s="4" t="inlineStr"/>
      <c r="F102" s="4" t="inlineStr"/>
    </row>
    <row r="103" ht="22" customHeight="1">
      <c r="A103" s="5" t="inlineStr">
        <is>
          <t>Inventory Batches Grid</t>
        </is>
      </c>
      <c r="B103" s="5" t="inlineStr">
        <is>
          <t>Main AG Grid of all inventory batches</t>
        </is>
      </c>
      <c r="C103" s="5" t="inlineStr">
        <is>
          <t>InventoryView</t>
        </is>
      </c>
      <c r="D103" s="5" t="inlineStr">
        <is>
          <t>Grid</t>
        </is>
      </c>
      <c r="E103" s="5" t="inlineStr"/>
      <c r="F103" s="5" t="inlineStr">
        <is>
          <t>2026-06-25: GridView template applied; subquery-scoped ORDER BY</t>
        </is>
      </c>
    </row>
    <row r="104" ht="22" customHeight="1">
      <c r="A104" s="5" t="inlineStr">
        <is>
          <t>Inventory Grid — Default Columns</t>
        </is>
      </c>
      <c r="B104" s="5" t="inlineStr">
        <is>
          <t>Batch Code, Name, Available Qty, Unit Cost, Unit Price, Marker, Media, Status</t>
        </is>
      </c>
      <c r="C104" s="5" t="inlineStr">
        <is>
          <t>InventoryView</t>
        </is>
      </c>
      <c r="D104" s="5" t="inlineStr">
        <is>
          <t>Grid</t>
        </is>
      </c>
      <c r="E104" s="5" t="inlineStr"/>
      <c r="F104" s="5" t="inlineStr"/>
    </row>
    <row r="105" ht="22" customHeight="1">
      <c r="A105" s="5" t="inlineStr">
        <is>
          <t>Inventory Grid — Hidden Columns</t>
        </is>
      </c>
      <c r="B105" s="5" t="inlineStr">
        <is>
          <t>Subcategory, Market Name, Category, Tags, Vendor, Reserved Qty, UOM, Location, Ownership, Arrival, Photos?, Lot Code, Expiration Date</t>
        </is>
      </c>
      <c r="C105" s="5" t="inlineStr">
        <is>
          <t>InventoryView</t>
        </is>
      </c>
      <c r="D105" s="5" t="inlineStr">
        <is>
          <t>Grid</t>
        </is>
      </c>
      <c r="E105" s="5" t="inlineStr"/>
      <c r="F105" s="5" t="inlineStr"/>
    </row>
    <row r="106" ht="22" customHeight="1">
      <c r="A106" s="5" t="inlineStr">
        <is>
          <t>Inventory Grid — Inline Editing</t>
        </is>
      </c>
      <c r="B106" s="5" t="inlineStr">
        <is>
          <t>Editable: Available Qty, Unit Price, Lot Code, Expiration Date, Tags, Marker, statuses</t>
        </is>
      </c>
      <c r="C106" s="5" t="inlineStr">
        <is>
          <t>InventoryView</t>
        </is>
      </c>
      <c r="D106" s="5" t="inlineStr">
        <is>
          <t>Inline Action</t>
        </is>
      </c>
      <c r="E106" s="5" t="inlineStr"/>
      <c r="F106" s="5" t="inlineStr"/>
    </row>
    <row r="107" ht="22" customHeight="1">
      <c r="A107" s="5" t="inlineStr">
        <is>
          <t>Auto-Pricing Indicator</t>
        </is>
      </c>
      <c r="B107" s="5" t="inlineStr">
        <is>
          <t>Unit Price cell shows "Auto" label if derived from pricing rule</t>
        </is>
      </c>
      <c r="C107" s="5" t="inlineStr">
        <is>
          <t>InventoryView</t>
        </is>
      </c>
      <c r="D107" s="5" t="inlineStr">
        <is>
          <t>Grid (Visual)</t>
        </is>
      </c>
      <c r="E107" s="5" t="inlineStr"/>
      <c r="F107" s="5" t="inlineStr"/>
    </row>
    <row r="108" ht="22" customHeight="1">
      <c r="A108" s="5" t="inlineStr">
        <is>
          <t>Filter Preset Strip</t>
        </is>
      </c>
      <c r="B108" s="5" t="inlineStr">
        <is>
          <t>Pre-configured filters: Available, Office Stock, No photos</t>
        </is>
      </c>
      <c r="C108" s="5" t="inlineStr">
        <is>
          <t>InventoryView</t>
        </is>
      </c>
      <c r="D108" s="5" t="inlineStr">
        <is>
          <t>Filter</t>
        </is>
      </c>
      <c r="E108" s="5" t="inlineStr"/>
      <c r="F108" s="5" t="inlineStr"/>
    </row>
    <row r="109" ht="22" customHeight="1">
      <c r="A109" s="6" t="inlineStr">
        <is>
          <t>Inventory Subcategory Summary (DR-1)</t>
        </is>
      </c>
      <c r="B109" s="6" t="inlineStr">
        <is>
          <t>Category-tier summary and ordering in InventoryView</t>
        </is>
      </c>
      <c r="C109" s="6" t="inlineStr">
        <is>
          <t>InventoryView</t>
        </is>
      </c>
      <c r="D109" s="6" t="inlineStr">
        <is>
          <t>Grid (Visual)</t>
        </is>
      </c>
      <c r="E109" s="6" t="inlineStr"/>
      <c r="F109" s="6" t="inlineStr">
        <is>
          <t>NEW — 2026-06-17: DR-1 landed. Category-tier ordering (R-15)</t>
        </is>
      </c>
    </row>
    <row r="110" ht="22" customHeight="1">
      <c r="A110" s="7" t="inlineStr">
        <is>
          <t>Photography Queue Panel</t>
        </is>
      </c>
      <c r="B110" s="8" t="inlineStr">
        <is>
          <t>Panel showing counts of batches needing media + link to Media view</t>
        </is>
      </c>
      <c r="C110" s="8" t="inlineStr">
        <is>
          <t>InventoryView</t>
        </is>
      </c>
      <c r="D110" s="8" t="inlineStr">
        <is>
          <t>Panel</t>
        </is>
      </c>
      <c r="E110" s="8" t="inlineStr">
        <is>
          <t>X</t>
        </is>
      </c>
      <c r="F110" s="8" t="inlineStr">
        <is>
          <t>REMOVED 2026-06-17: DR-6 — removed from InventoryView to declutter left panel</t>
        </is>
      </c>
    </row>
    <row r="111" ht="22" customHeight="1">
      <c r="A111" s="5" t="inlineStr">
        <is>
          <t>Row Actions Panel</t>
        </is>
      </c>
      <c r="B111" s="5" t="inlineStr">
        <is>
          <t>Panel when row is selected with tools to adjust quantity/status/location/ownership/tags</t>
        </is>
      </c>
      <c r="C111" s="5" t="inlineStr">
        <is>
          <t>InventoryView</t>
        </is>
      </c>
      <c r="D111" s="5" t="inlineStr">
        <is>
          <t>Panel</t>
        </is>
      </c>
      <c r="E111" s="5" t="inlineStr"/>
      <c r="F111" s="5" t="inlineStr"/>
    </row>
    <row r="112" ht="22" customHeight="1">
      <c r="A112" s="5" t="inlineStr">
        <is>
          <t>Row Action: Adjust Quantity</t>
        </is>
      </c>
      <c r="B112" s="5" t="inlineStr">
        <is>
          <t>Delta input (+/-) to adjust qty with required reason + before/after preview</t>
        </is>
      </c>
      <c r="C112" s="5" t="inlineStr">
        <is>
          <t>InventoryView</t>
        </is>
      </c>
      <c r="D112" s="5" t="inlineStr">
        <is>
          <t>Workflow</t>
        </is>
      </c>
      <c r="E112" s="5" t="inlineStr"/>
      <c r="F112" s="5" t="inlineStr"/>
    </row>
    <row r="113" ht="22" customHeight="1">
      <c r="A113" s="5" t="inlineStr">
        <is>
          <t>Row Action: Set Status</t>
        </is>
      </c>
      <c r="B113" s="5" t="inlineStr">
        <is>
          <t>Dropdown to change batch status (Held, Damaged, etc.) with required reason</t>
        </is>
      </c>
      <c r="C113" s="5" t="inlineStr">
        <is>
          <t>InventoryView</t>
        </is>
      </c>
      <c r="D113" s="5" t="inlineStr">
        <is>
          <t>Workflow</t>
        </is>
      </c>
      <c r="E113" s="5" t="inlineStr"/>
      <c r="F113" s="5" t="inlineStr"/>
    </row>
    <row r="114" ht="22" customHeight="1">
      <c r="A114" s="5" t="inlineStr">
        <is>
          <t>Row Action: Move Location</t>
        </is>
      </c>
      <c r="B114" s="5" t="inlineStr">
        <is>
          <t>Input to change physical location with required reason</t>
        </is>
      </c>
      <c r="C114" s="5" t="inlineStr">
        <is>
          <t>InventoryView</t>
        </is>
      </c>
      <c r="D114" s="5" t="inlineStr">
        <is>
          <t>Workflow</t>
        </is>
      </c>
      <c r="E114" s="5" t="inlineStr"/>
      <c r="F114" s="5" t="inlineStr"/>
    </row>
    <row r="115" ht="22" customHeight="1">
      <c r="A115" s="5" t="inlineStr">
        <is>
          <t>Row Action: Move Ownership</t>
        </is>
      </c>
      <c r="B115" s="5" t="inlineStr">
        <is>
          <t>Dropdown to change ownership (Office, Consigned) with required reason</t>
        </is>
      </c>
      <c r="C115" s="5" t="inlineStr">
        <is>
          <t>InventoryView</t>
        </is>
      </c>
      <c r="D115" s="5" t="inlineStr">
        <is>
          <t>Workflow</t>
        </is>
      </c>
      <c r="E115" s="5" t="inlineStr"/>
      <c r="F115" s="5" t="inlineStr"/>
    </row>
    <row r="116" ht="22" customHeight="1">
      <c r="A116" s="5" t="inlineStr">
        <is>
          <t>Row Action: Apply Tags</t>
        </is>
      </c>
      <c r="B116" s="5" t="inlineStr">
        <is>
          <t>Text input to replace tags on selected batch</t>
        </is>
      </c>
      <c r="C116" s="5" t="inlineStr">
        <is>
          <t>InventoryView</t>
        </is>
      </c>
      <c r="D116" s="5" t="inlineStr">
        <is>
          <t>Workflow</t>
        </is>
      </c>
      <c r="E116" s="5" t="inlineStr"/>
      <c r="F116" s="5" t="inlineStr"/>
    </row>
    <row r="118" ht="26" customHeight="1">
      <c r="A118" s="3">
        <f>== SALES ===</f>
        <v/>
      </c>
      <c r="B118" s="4" t="inlineStr"/>
      <c r="C118" s="4" t="inlineStr"/>
      <c r="D118" s="4" t="inlineStr"/>
      <c r="E118" s="4" t="inlineStr"/>
      <c r="F118" s="4" t="inlineStr"/>
    </row>
    <row r="119" ht="22" customHeight="1">
      <c r="A119" s="5" t="inlineStr">
        <is>
          <t>Sales Orders Grid</t>
        </is>
      </c>
      <c r="B119" s="5" t="inlineStr">
        <is>
          <t>AG Grid of all sales orders: Order No, Customer, Status, Pricing, Total, Margin, Lines, Picked</t>
        </is>
      </c>
      <c r="C119" s="5" t="inlineStr">
        <is>
          <t>SalesView</t>
        </is>
      </c>
      <c r="D119" s="5" t="inlineStr">
        <is>
          <t>Grid</t>
        </is>
      </c>
      <c r="E119" s="5" t="inlineStr"/>
      <c r="F119" s="5" t="inlineStr">
        <is>
          <t>2026-06-18: SalesView modernization (T3) — behind feature flag</t>
        </is>
      </c>
    </row>
    <row r="120" ht="22" customHeight="1">
      <c r="A120" s="5" t="inlineStr">
        <is>
          <t>Sales Orders — Inline Editing</t>
        </is>
      </c>
      <c r="B120" s="5" t="inlineStr">
        <is>
          <t>Delivery Window cell editable inline</t>
        </is>
      </c>
      <c r="C120" s="5" t="inlineStr">
        <is>
          <t>SalesView</t>
        </is>
      </c>
      <c r="D120" s="5" t="inlineStr">
        <is>
          <t>Inline Action</t>
        </is>
      </c>
      <c r="E120" s="5" t="inlineStr"/>
      <c r="F120" s="5" t="inlineStr"/>
    </row>
    <row r="121" ht="22" customHeight="1">
      <c r="A121" s="5" t="inlineStr">
        <is>
          <t>Sales Orders — Filter Strip</t>
        </is>
      </c>
      <c r="B121" s="5" t="inlineStr">
        <is>
          <t>Pre-configured filters: All Open, Confirmed, Today, Needs marks</t>
        </is>
      </c>
      <c r="C121" s="5" t="inlineStr">
        <is>
          <t>SalesView</t>
        </is>
      </c>
      <c r="D121" s="5" t="inlineStr">
        <is>
          <t>Filter</t>
        </is>
      </c>
      <c r="E121" s="5" t="inlineStr"/>
      <c r="F121" s="5" t="inlineStr"/>
    </row>
    <row r="122" ht="22" customHeight="1">
      <c r="A122" s="5" t="inlineStr">
        <is>
          <t>Margin Visibility Toggle</t>
        </is>
      </c>
      <c r="B122" s="5" t="inlineStr">
        <is>
          <t>Toggle to show/hide internalMargin column in grids (drawer control)</t>
        </is>
      </c>
      <c r="C122" s="5" t="inlineStr">
        <is>
          <t>SalesView</t>
        </is>
      </c>
      <c r="D122" s="5" t="inlineStr">
        <is>
          <t>Setting</t>
        </is>
      </c>
      <c r="E122" s="5" t="inlineStr"/>
      <c r="F122" s="5" t="inlineStr"/>
    </row>
    <row r="123" ht="22" customHeight="1">
      <c r="A123" s="5" t="inlineStr">
        <is>
          <t>Customer Workspace</t>
        </is>
      </c>
      <c r="B123" s="5" t="inlineStr">
        <is>
          <t>Activated when customer is selected: inventory finder + purchase history + suggestions + line items grid</t>
        </is>
      </c>
      <c r="C123" s="5" t="inlineStr">
        <is>
          <t>SalesView</t>
        </is>
      </c>
      <c r="D123" s="5" t="inlineStr">
        <is>
          <t>Panel</t>
        </is>
      </c>
      <c r="E123" s="5" t="inlineStr"/>
      <c r="F123" s="5" t="inlineStr"/>
    </row>
    <row r="124" ht="22" customHeight="1">
      <c r="A124" s="5" t="inlineStr">
        <is>
          <t>Sales Source Pane (Inventory Finder)</t>
        </is>
      </c>
      <c r="B124" s="5" t="inlineStr">
        <is>
          <t>Side panel for searching and adding available inventory to draft order</t>
        </is>
      </c>
      <c r="C124" s="5" t="inlineStr">
        <is>
          <t>SalesView</t>
        </is>
      </c>
      <c r="D124" s="5" t="inlineStr">
        <is>
          <t>Panel</t>
        </is>
      </c>
      <c r="E124" s="5" t="inlineStr"/>
      <c r="F124" s="5" t="inlineStr"/>
    </row>
    <row r="125" ht="22" customHeight="1">
      <c r="A125" s="5" t="inlineStr">
        <is>
          <t>Customer Purchase History Panel</t>
        </is>
      </c>
      <c r="B125" s="5" t="inlineStr">
        <is>
          <t>Panel showing past purchases with quick-add to current order</t>
        </is>
      </c>
      <c r="C125" s="5" t="inlineStr">
        <is>
          <t>SalesView</t>
        </is>
      </c>
      <c r="D125" s="5" t="inlineStr">
        <is>
          <t>Panel</t>
        </is>
      </c>
      <c r="E125" s="5" t="inlineStr"/>
      <c r="F125" s="5" t="inlineStr"/>
    </row>
    <row r="126" ht="22" customHeight="1">
      <c r="A126" s="5" t="inlineStr">
        <is>
          <t>Photography Queue Panel (Sales)</t>
        </is>
      </c>
      <c r="B126" s="5" t="inlineStr">
        <is>
          <t>Panel showing media-needy batches to inform cataloging decisions</t>
        </is>
      </c>
      <c r="C126" s="5" t="inlineStr">
        <is>
          <t>SalesView</t>
        </is>
      </c>
      <c r="D126" s="5" t="inlineStr">
        <is>
          <t>Panel</t>
        </is>
      </c>
      <c r="E126" s="5" t="inlineStr"/>
      <c r="F126" s="5" t="inlineStr"/>
    </row>
    <row r="127" ht="22" customHeight="1">
      <c r="A127" s="5" t="inlineStr">
        <is>
          <t>Sales Suggestions Grid</t>
        </is>
      </c>
      <c r="B127" s="5" t="inlineStr">
        <is>
          <t>Suggested items to sell based on customer history + needs</t>
        </is>
      </c>
      <c r="C127" s="5" t="inlineStr">
        <is>
          <t>SalesView</t>
        </is>
      </c>
      <c r="D127" s="5" t="inlineStr">
        <is>
          <t>Grid</t>
        </is>
      </c>
      <c r="E127" s="5" t="inlineStr"/>
      <c r="F127" s="5" t="inlineStr"/>
    </row>
    <row r="128" ht="22" customHeight="1">
      <c r="A128" s="5" t="inlineStr">
        <is>
          <t>Sales Suggestions — Filtering</t>
        </is>
      </c>
      <c r="B128" s="5" t="inlineStr">
        <is>
          <t>Filter suggestions by category, price bracket, or aging only</t>
        </is>
      </c>
      <c r="C128" s="5" t="inlineStr">
        <is>
          <t>SalesView</t>
        </is>
      </c>
      <c r="D128" s="5" t="inlineStr">
        <is>
          <t>Filter</t>
        </is>
      </c>
      <c r="E128" s="5" t="inlineStr"/>
      <c r="F128" s="5" t="inlineStr"/>
    </row>
    <row r="129" ht="22" customHeight="1">
      <c r="A129" s="5" t="inlineStr">
        <is>
          <t>Sales Line Items Grid</t>
        </is>
      </c>
      <c r="B129" s="5" t="inlineStr">
        <is>
          <t>Editable AG Grid: Product, Source (Batch), Qty, Unit Price, Markup $, Markup %, COGS, Exceptions, Pick Status, closeout marks</t>
        </is>
      </c>
      <c r="C129" s="5" t="inlineStr">
        <is>
          <t>SalesView</t>
        </is>
      </c>
      <c r="D129" s="5" t="inlineStr">
        <is>
          <t>Grid (Editable)</t>
        </is>
      </c>
      <c r="E129" s="5" t="inlineStr"/>
      <c r="F129" s="5" t="inlineStr"/>
    </row>
    <row r="130" ht="22" customHeight="1">
      <c r="A130" s="5" t="inlineStr">
        <is>
          <t>Sales Line Items — Inline Editing</t>
        </is>
      </c>
      <c r="B130" s="5" t="inlineStr">
        <is>
          <t>Financial + status fields editable inline (subject to pick status locks)</t>
        </is>
      </c>
      <c r="C130" s="5" t="inlineStr">
        <is>
          <t>SalesView</t>
        </is>
      </c>
      <c r="D130" s="5" t="inlineStr">
        <is>
          <t>Inline Action</t>
        </is>
      </c>
      <c r="E130" s="5" t="inlineStr"/>
      <c r="F130" s="5" t="inlineStr"/>
    </row>
    <row r="131" ht="22" customHeight="1">
      <c r="A131" s="5" t="inlineStr">
        <is>
          <t>Sales Line Items — Manual Entry</t>
        </is>
      </c>
      <c r="B131" s="5" t="inlineStr">
        <is>
          <t>Form below grid to manually add unresolved line item by name + qty</t>
        </is>
      </c>
      <c r="C131" s="5" t="inlineStr">
        <is>
          <t>SalesView</t>
        </is>
      </c>
      <c r="D131" s="5" t="inlineStr">
        <is>
          <t>Workflow</t>
        </is>
      </c>
      <c r="E131" s="5" t="inlineStr"/>
      <c r="F131" s="5" t="inlineStr"/>
    </row>
    <row r="132" ht="22" customHeight="1">
      <c r="A132" s="5" t="inlineStr">
        <is>
          <t>Sales Line Items — Typeahead</t>
        </is>
      </c>
      <c r="B132" s="5" t="inlineStr">
        <is>
          <t>Manual entry input suggests available batches for direct addition</t>
        </is>
      </c>
      <c r="C132" s="5" t="inlineStr">
        <is>
          <t>SalesView</t>
        </is>
      </c>
      <c r="D132" s="5" t="inlineStr">
        <is>
          <t>Workflow</t>
        </is>
      </c>
      <c r="E132" s="5" t="inlineStr"/>
      <c r="F132" s="5" t="inlineStr"/>
    </row>
    <row r="133" ht="22" customHeight="1">
      <c r="A133" s="5" t="inlineStr">
        <is>
          <t>Line Exception Controls</t>
        </is>
      </c>
      <c r="B133" s="5" t="inlineStr">
        <is>
          <t>Expansion row with controls to resolve COGS issues, below-floor reasons, vendor approvals</t>
        </is>
      </c>
      <c r="C133" s="5" t="inlineStr">
        <is>
          <t>SalesView</t>
        </is>
      </c>
      <c r="D133" s="5" t="inlineStr">
        <is>
          <t>Inline Action</t>
        </is>
      </c>
      <c r="E133" s="5" t="inlineStr"/>
      <c r="F133" s="5" t="inlineStr"/>
    </row>
    <row r="134" ht="22" customHeight="1">
      <c r="A134" s="5" t="inlineStr">
        <is>
          <t>Pick/Fulfillment Actions Column</t>
        </is>
      </c>
      <c r="B134" s="5" t="inlineStr">
        <is>
          <t>Column + expansion rows with "Release for picking" / "Recall from pick" buttons</t>
        </is>
      </c>
      <c r="C134" s="5" t="inlineStr">
        <is>
          <t>SalesView</t>
        </is>
      </c>
      <c r="D134" s="5" t="inlineStr">
        <is>
          <t>Workflow</t>
        </is>
      </c>
      <c r="E134" s="5" t="inlineStr"/>
      <c r="F134" s="5" t="inlineStr"/>
    </row>
    <row r="135" ht="22" customHeight="1">
      <c r="A135" s="5" t="inlineStr">
        <is>
          <t>Pre-Post Checklist</t>
        </is>
      </c>
      <c r="B135" s="5" t="inlineStr">
        <is>
          <t>Strip showing readiness checks: credit, duplicate sources, pricing, inventory resolution</t>
        </is>
      </c>
      <c r="C135" s="5" t="inlineStr">
        <is>
          <t>SalesView</t>
        </is>
      </c>
      <c r="D135" s="5" t="inlineStr">
        <is>
          <t>Panel</t>
        </is>
      </c>
      <c r="E135" s="5" t="inlineStr"/>
      <c r="F135" s="5" t="inlineStr"/>
    </row>
    <row r="136" ht="22" customHeight="1">
      <c r="A136" s="5" t="inlineStr">
        <is>
          <t>Repeat Last Order</t>
        </is>
      </c>
      <c r="B136" s="5" t="inlineStr">
        <is>
          <t>Button to fetch customer's most recent sheet and add all available items</t>
        </is>
      </c>
      <c r="C136" s="5" t="inlineStr">
        <is>
          <t>SalesView</t>
        </is>
      </c>
      <c r="D136" s="5" t="inlineStr">
        <is>
          <t>Workflow</t>
        </is>
      </c>
      <c r="E136" s="5" t="inlineStr"/>
      <c r="F136" s="5" t="inlineStr"/>
    </row>
    <row r="137" ht="22" customHeight="1">
      <c r="A137" s="5" t="inlineStr">
        <is>
          <t>Add to Sheet / Export Offer</t>
        </is>
      </c>
      <c r="B137" s="5" t="inlineStr">
        <is>
          <t>Add selected suggestions to "sheet" then export as CSV or copy as text</t>
        </is>
      </c>
      <c r="C137" s="5" t="inlineStr">
        <is>
          <t>SalesView</t>
        </is>
      </c>
      <c r="D137" s="5" t="inlineStr">
        <is>
          <t>Export</t>
        </is>
      </c>
      <c r="E137" s="5" t="inlineStr"/>
      <c r="F137" s="5" t="inlineStr"/>
    </row>
    <row r="138" ht="22" customHeight="1">
      <c r="A138" s="5" t="inlineStr">
        <is>
          <t>Status Action Bar (Sales)</t>
        </is>
      </c>
      <c r="B138" s="5" t="inlineStr">
        <is>
          <t>Context-sensitive toolbar: Confirm, Post, Reprice, Fulfill, Pick List, Cancel</t>
        </is>
      </c>
      <c r="C138" s="5" t="inlineStr">
        <is>
          <t>SalesView</t>
        </is>
      </c>
      <c r="D138" s="5" t="inlineStr">
        <is>
          <t>Toolbar Action</t>
        </is>
      </c>
      <c r="E138" s="5" t="inlineStr"/>
      <c r="F138" s="5" t="inlineStr"/>
    </row>
    <row r="139" ht="22" customHeight="1">
      <c r="A139" s="5" t="inlineStr">
        <is>
          <t>Main Sale Actions (Workspace)</t>
        </is>
      </c>
      <c r="B139" s="5" t="inlineStr">
        <is>
          <t>Primary buttons: Price &amp; Confirm, Reserve Inventory, remove selected lines</t>
        </is>
      </c>
      <c r="C139" s="5" t="inlineStr">
        <is>
          <t>SalesView</t>
        </is>
      </c>
      <c r="D139" s="5" t="inlineStr">
        <is>
          <t>Toolbar Action</t>
        </is>
      </c>
      <c r="E139" s="5" t="inlineStr"/>
      <c r="F139" s="5" t="inlineStr"/>
    </row>
    <row r="140" ht="22" customHeight="1">
      <c r="A140" s="5" t="inlineStr">
        <is>
          <t>Apply Credit (Manager+)</t>
        </is>
      </c>
      <c r="B140" s="5" t="inlineStr">
        <is>
          <t>Inputs to apply manual credit to order with required reason</t>
        </is>
      </c>
      <c r="C140" s="5" t="inlineStr">
        <is>
          <t>SalesView</t>
        </is>
      </c>
      <c r="D140" s="5" t="inlineStr">
        <is>
          <t>Workflow</t>
        </is>
      </c>
      <c r="E140" s="5" t="inlineStr"/>
      <c r="F140" s="5" t="inlineStr"/>
    </row>
    <row r="141" ht="22" customHeight="1">
      <c r="A141" s="5" t="inlineStr">
        <is>
          <t>Select Referee</t>
        </is>
      </c>
      <c r="B141" s="5" t="inlineStr">
        <is>
          <t>Dropdown to associate referee for credit accrual</t>
        </is>
      </c>
      <c r="C141" s="5" t="inlineStr">
        <is>
          <t>SalesView</t>
        </is>
      </c>
      <c r="D141" s="5" t="inlineStr">
        <is>
          <t>Workflow</t>
        </is>
      </c>
      <c r="E141" s="5" t="inlineStr"/>
      <c r="F141" s="5" t="inlineStr"/>
    </row>
    <row r="143" ht="26" customHeight="1">
      <c r="A143" s="3">
        <f>== MATCHMAKING ===</f>
        <v/>
      </c>
      <c r="B143" s="4" t="inlineStr"/>
      <c r="C143" s="4" t="inlineStr"/>
      <c r="D143" s="4" t="inlineStr"/>
      <c r="E143" s="4" t="inlineStr"/>
      <c r="F143" s="4" t="inlineStr"/>
    </row>
    <row r="144" ht="22" customHeight="1">
      <c r="A144" s="5" t="inlineStr">
        <is>
          <t>Matchmaking Settings Panel</t>
        </is>
      </c>
      <c r="B144" s="5" t="inlineStr">
        <is>
          <t>Collapsible panel: score floors, thresholds, lookback days</t>
        </is>
      </c>
      <c r="C144" s="5" t="inlineStr">
        <is>
          <t>MatchmakingView</t>
        </is>
      </c>
      <c r="D144" s="5" t="inlineStr">
        <is>
          <t>Setting</t>
        </is>
      </c>
      <c r="E144" s="5" t="inlineStr"/>
      <c r="F144" s="5" t="inlineStr">
        <is>
          <t>2026-06-18: MatchmakingView modernization (T2) — settings/entry → slide-overs (UX-3)</t>
        </is>
      </c>
    </row>
    <row r="145" ht="22" customHeight="1">
      <c r="A145" s="5" t="inlineStr">
        <is>
          <t>Matchmaking Entry Panel</t>
        </is>
      </c>
      <c r="B145" s="5" t="inlineStr">
        <is>
          <t>Forms to manually enter Customer Needs and Vendor Supply</t>
        </is>
      </c>
      <c r="C145" s="5" t="inlineStr">
        <is>
          <t>MatchmakingView</t>
        </is>
      </c>
      <c r="D145" s="5" t="inlineStr">
        <is>
          <t>Panel</t>
        </is>
      </c>
      <c r="E145" s="5" t="inlineStr"/>
      <c r="F145" s="5" t="inlineStr">
        <is>
          <t>Now slide-over panels instead of inline</t>
        </is>
      </c>
    </row>
    <row r="146" ht="22" customHeight="1">
      <c r="A146" s="5" t="inlineStr">
        <is>
          <t>Deterministic Matches Grid</t>
        </is>
      </c>
      <c r="B146" s="5" t="inlineStr">
        <is>
          <t>Main grid showing computer-generated matches with scores + fit indicators</t>
        </is>
      </c>
      <c r="C146" s="5" t="inlineStr">
        <is>
          <t>MatchmakingView</t>
        </is>
      </c>
      <c r="D146" s="5" t="inlineStr">
        <is>
          <t>Grid</t>
        </is>
      </c>
      <c r="E146" s="5" t="inlineStr"/>
      <c r="F146" s="5" t="inlineStr"/>
    </row>
    <row r="147" ht="22" customHeight="1">
      <c r="A147" s="5" t="inlineStr">
        <is>
          <t>Match Expansion Row</t>
        </is>
      </c>
      <c r="B147" s="5" t="inlineStr">
        <is>
          <t>Expanding a match reveals reasoning + context-sensitive actions</t>
        </is>
      </c>
      <c r="C147" s="5" t="inlineStr">
        <is>
          <t>MatchmakingView</t>
        </is>
      </c>
      <c r="D147" s="5" t="inlineStr">
        <is>
          <t>Grid</t>
        </is>
      </c>
      <c r="E147" s="5" t="inlineStr"/>
      <c r="F147" s="5" t="inlineStr"/>
    </row>
    <row r="148" ht="22" customHeight="1">
      <c r="A148" s="5" t="inlineStr">
        <is>
          <t>Match Actions</t>
        </is>
      </c>
      <c r="B148" s="5" t="inlineStr">
        <is>
          <t>Inline actions: Accept, Dismiss, Reopen</t>
        </is>
      </c>
      <c r="C148" s="5" t="inlineStr">
        <is>
          <t>MatchmakingView</t>
        </is>
      </c>
      <c r="D148" s="5" t="inlineStr">
        <is>
          <t>Workflow</t>
        </is>
      </c>
      <c r="E148" s="5" t="inlineStr"/>
      <c r="F148" s="5" t="inlineStr"/>
    </row>
    <row r="149" ht="22" customHeight="1">
      <c r="A149" s="5" t="inlineStr">
        <is>
          <t>Next Step Actions (Create PO/Sale)</t>
        </is>
      </c>
      <c r="B149" s="5" t="inlineStr">
        <is>
          <t>For accepted matches: buttons to navigate to PO or Sales view</t>
        </is>
      </c>
      <c r="C149" s="5" t="inlineStr">
        <is>
          <t>MatchmakingView</t>
        </is>
      </c>
      <c r="D149" s="5" t="inlineStr">
        <is>
          <t>Navigation</t>
        </is>
      </c>
      <c r="E149" s="5" t="inlineStr"/>
      <c r="F149" s="5" t="inlineStr"/>
    </row>
    <row r="150" ht="22" customHeight="1">
      <c r="A150" s="5" t="inlineStr">
        <is>
          <t>Proactive Opportunities Panel</t>
        </is>
      </c>
      <c r="B150" s="5" t="inlineStr">
        <is>
          <t>Collapsible panel with grids: Inventory to Move, Gaps to Fill</t>
        </is>
      </c>
      <c r="C150" s="5" t="inlineStr">
        <is>
          <t>MatchmakingView</t>
        </is>
      </c>
      <c r="D150" s="5" t="inlineStr">
        <is>
          <t>Panel</t>
        </is>
      </c>
      <c r="E150" s="5" t="inlineStr"/>
      <c r="F150" s="5" t="inlineStr"/>
    </row>
    <row r="151" ht="22" customHeight="1">
      <c r="A151" s="5" t="inlineStr">
        <is>
          <t>Inventory to Move Grid</t>
        </is>
      </c>
      <c r="B151" s="5" t="inlineStr">
        <is>
          <t>Suggestions based on customer history + available stock</t>
        </is>
      </c>
      <c r="C151" s="5" t="inlineStr">
        <is>
          <t>MatchmakingView</t>
        </is>
      </c>
      <c r="D151" s="5" t="inlineStr">
        <is>
          <t>Grid</t>
        </is>
      </c>
      <c r="E151" s="5" t="inlineStr"/>
      <c r="F151" s="5" t="inlineStr"/>
    </row>
    <row r="152" ht="22" customHeight="1">
      <c r="A152" s="5" t="inlineStr">
        <is>
          <t>Gaps to Fill Grid</t>
        </is>
      </c>
      <c r="B152" s="5" t="inlineStr">
        <is>
          <t>Suggestions for sourcing based on low inventory + demand history</t>
        </is>
      </c>
      <c r="C152" s="5" t="inlineStr">
        <is>
          <t>MatchmakingView</t>
        </is>
      </c>
      <c r="D152" s="5" t="inlineStr">
        <is>
          <t>Grid</t>
        </is>
      </c>
      <c r="E152" s="5" t="inlineStr"/>
      <c r="F152" s="5" t="inlineStr"/>
    </row>
    <row r="153" ht="22" customHeight="1">
      <c r="A153" s="5" t="inlineStr">
        <is>
          <t>Note Contact Action</t>
        </is>
      </c>
      <c r="B153" s="5" t="inlineStr">
        <is>
          <t>Inline action in opportunities grids to log outreach</t>
        </is>
      </c>
      <c r="C153" s="5" t="inlineStr">
        <is>
          <t>MatchmakingView</t>
        </is>
      </c>
      <c r="D153" s="5" t="inlineStr">
        <is>
          <t>Inline Action</t>
        </is>
      </c>
      <c r="E153" s="5" t="inlineStr"/>
      <c r="F153" s="5" t="inlineStr"/>
    </row>
    <row r="154" ht="22" customHeight="1">
      <c r="A154" s="5" t="inlineStr">
        <is>
          <t>Input Registry Panel</t>
        </is>
      </c>
      <c r="B154" s="5" t="inlineStr">
        <is>
          <t>Collapsible panel: raw un-matched Customer Needs + Vendor Stock grids</t>
        </is>
      </c>
      <c r="C154" s="5" t="inlineStr">
        <is>
          <t>MatchmakingView</t>
        </is>
      </c>
      <c r="D154" s="5" t="inlineStr">
        <is>
          <t>Panel</t>
        </is>
      </c>
      <c r="E154" s="5" t="inlineStr"/>
      <c r="F154" s="5" t="inlineStr"/>
    </row>
    <row r="156" ht="26" customHeight="1">
      <c r="A156" s="3">
        <f>== ORDERS ===</f>
        <v/>
      </c>
      <c r="B156" s="4" t="inlineStr"/>
      <c r="C156" s="4" t="inlineStr"/>
      <c r="D156" s="4" t="inlineStr"/>
      <c r="E156" s="4" t="inlineStr"/>
      <c r="F156" s="4" t="inlineStr"/>
    </row>
    <row r="157" ht="22" customHeight="1">
      <c r="A157" s="5" t="inlineStr">
        <is>
          <t>Orders Grid</t>
        </is>
      </c>
      <c r="B157" s="5" t="inlineStr">
        <is>
          <t>AG Grid of all sales orders</t>
        </is>
      </c>
      <c r="C157" s="5" t="inlineStr">
        <is>
          <t>OrdersView</t>
        </is>
      </c>
      <c r="D157" s="5" t="inlineStr">
        <is>
          <t>Grid</t>
        </is>
      </c>
      <c r="E157" s="5" t="inlineStr"/>
      <c r="F157" s="5" t="inlineStr"/>
    </row>
    <row r="158" ht="22" customHeight="1">
      <c r="A158" s="5" t="inlineStr">
        <is>
          <t>Cross-Order Source Column</t>
        </is>
      </c>
      <c r="B158" s="5" t="inlineStr">
        <is>
          <t>Chip indicator for orders sharing line-item sources with other open orders</t>
        </is>
      </c>
      <c r="C158" s="5" t="inlineStr">
        <is>
          <t>OrdersView</t>
        </is>
      </c>
      <c r="D158" s="5" t="inlineStr">
        <is>
          <t>Grid</t>
        </is>
      </c>
      <c r="E158" s="5" t="inlineStr"/>
      <c r="F158" s="5" t="inlineStr"/>
    </row>
    <row r="159" ht="22" customHeight="1">
      <c r="A159" s="5" t="inlineStr">
        <is>
          <t>Filter Preset Strip</t>
        </is>
      </c>
      <c r="B159" s="5" t="inlineStr">
        <is>
          <t>Pre-configured: All Open, Confirmed, Today, Needs marks</t>
        </is>
      </c>
      <c r="C159" s="5" t="inlineStr">
        <is>
          <t>OrdersView</t>
        </is>
      </c>
      <c r="D159" s="5" t="inlineStr">
        <is>
          <t>Filter</t>
        </is>
      </c>
      <c r="E159" s="5" t="inlineStr"/>
      <c r="F159" s="5" t="inlineStr"/>
    </row>
    <row r="160" ht="22" customHeight="1">
      <c r="A160" s="5" t="inlineStr">
        <is>
          <t>Status Action Bar</t>
        </is>
      </c>
      <c r="B160" s="5" t="inlineStr">
        <is>
          <t>Context-sensitive toolbar: Confirm, Post, Reprice, Allocate Fulfillment, Create Pick List, Cancel, Mark Packed/Inv-Posted/Pay-F-up</t>
        </is>
      </c>
      <c r="C160" s="5" t="inlineStr">
        <is>
          <t>OrdersView</t>
        </is>
      </c>
      <c r="D160" s="5" t="inlineStr">
        <is>
          <t>Toolbar Action</t>
        </is>
      </c>
      <c r="E160" s="5" t="inlineStr"/>
      <c r="F160" s="5" t="inlineStr"/>
    </row>
    <row r="161" ht="22" customHeight="1">
      <c r="A161" s="5" t="inlineStr">
        <is>
          <t>Inspector Drawer with Invoice Tab</t>
        </is>
      </c>
      <c r="B161" s="5" t="inlineStr">
        <is>
          <t>Drawer on selected order: invoice details tab + deep link to Payments view</t>
        </is>
      </c>
      <c r="C161" s="5" t="inlineStr">
        <is>
          <t>OrdersView</t>
        </is>
      </c>
      <c r="D161" s="5" t="inlineStr">
        <is>
          <t>Drawer</t>
        </is>
      </c>
      <c r="E161" s="5" t="inlineStr"/>
      <c r="F161" s="5" t="inlineStr"/>
    </row>
    <row r="163" ht="26" customHeight="1">
      <c r="A163" s="3">
        <f>== FULFILLMENT ===</f>
        <v/>
      </c>
      <c r="B163" s="4" t="inlineStr"/>
      <c r="C163" s="4" t="inlineStr"/>
      <c r="D163" s="4" t="inlineStr"/>
      <c r="E163" s="4" t="inlineStr"/>
      <c r="F163" s="4" t="inlineStr"/>
    </row>
    <row r="164" ht="22" customHeight="1">
      <c r="A164" s="5" t="inlineStr">
        <is>
          <t>Fulfillment (Pick Lists) Grid</t>
        </is>
      </c>
      <c r="B164" s="5" t="inlineStr">
        <is>
          <t>AG Grid of all pick lists</t>
        </is>
      </c>
      <c r="C164" s="5" t="inlineStr">
        <is>
          <t>FulfillmentView</t>
        </is>
      </c>
      <c r="D164" s="5" t="inlineStr">
        <is>
          <t>Grid</t>
        </is>
      </c>
      <c r="E164" s="5" t="inlineStr"/>
      <c r="F164" s="5" t="inlineStr"/>
    </row>
    <row r="165" ht="22" customHeight="1">
      <c r="A165" s="5" t="inlineStr">
        <is>
          <t>Pick Queue Filter Chips</t>
        </is>
      </c>
      <c r="B165" s="5" t="inlineStr">
        <is>
          <t>Toggle buttons: Needs picking, In progress, Has alerts, Ready to close</t>
        </is>
      </c>
      <c r="C165" s="5" t="inlineStr">
        <is>
          <t>FulfillmentView</t>
        </is>
      </c>
      <c r="D165" s="5" t="inlineStr">
        <is>
          <t>Filter</t>
        </is>
      </c>
      <c r="E165" s="5" t="inlineStr"/>
      <c r="F165" s="5" t="inlineStr"/>
    </row>
    <row r="166" ht="22" customHeight="1">
      <c r="A166" s="5" t="inlineStr">
        <is>
          <t>Filter Preset Strip</t>
        </is>
      </c>
      <c r="B166" s="5" t="inlineStr">
        <is>
          <t>Pre-configured: Open picks, Fulfilled picks</t>
        </is>
      </c>
      <c r="C166" s="5" t="inlineStr">
        <is>
          <t>FulfillmentView</t>
        </is>
      </c>
      <c r="D166" s="5" t="inlineStr">
        <is>
          <t>Filter</t>
        </is>
      </c>
      <c r="E166" s="5" t="inlineStr"/>
      <c r="F166" s="5" t="inlineStr"/>
    </row>
    <row r="167" ht="22" customHeight="1">
      <c r="A167" s="5" t="inlineStr">
        <is>
          <t>Status Action Bar</t>
        </is>
      </c>
      <c r="B167" s="5" t="inlineStr">
        <is>
          <t>Toolbar for selected pick list — primary action: Mark fulfilled</t>
        </is>
      </c>
      <c r="C167" s="5" t="inlineStr">
        <is>
          <t>FulfillmentView</t>
        </is>
      </c>
      <c r="D167" s="5" t="inlineStr">
        <is>
          <t>Toolbar Action</t>
        </is>
      </c>
      <c r="E167" s="5" t="inlineStr"/>
      <c r="F167" s="5" t="inlineStr"/>
    </row>
    <row r="168" ht="22" customHeight="1">
      <c r="A168" s="5" t="inlineStr">
        <is>
          <t>Fulfillment Lines Grid</t>
        </is>
      </c>
      <c r="B168" s="5" t="inlineStr">
        <is>
          <t>Secondary grid: line items for selected pick list</t>
        </is>
      </c>
      <c r="C168" s="5" t="inlineStr">
        <is>
          <t>FulfillmentView</t>
        </is>
      </c>
      <c r="D168" s="5" t="inlineStr">
        <is>
          <t>Grid (Master-Detail)</t>
        </is>
      </c>
      <c r="E168" s="5" t="inlineStr"/>
      <c r="F168" s="5" t="inlineStr"/>
    </row>
    <row r="169" ht="22" customHeight="1">
      <c r="A169" s="5" t="inlineStr">
        <is>
          <t>Line Packing Strip</t>
        </is>
      </c>
      <c r="B169" s="5" t="inlineStr">
        <is>
          <t>Panel on line selection: Actual Qty, Weight, Bag Code inputs + Pack line button</t>
        </is>
      </c>
      <c r="C169" s="5" t="inlineStr">
        <is>
          <t>FulfillmentView</t>
        </is>
      </c>
      <c r="D169" s="5" t="inlineStr">
        <is>
          <t>Panel</t>
        </is>
      </c>
      <c r="E169" s="5" t="inlineStr"/>
      <c r="F169" s="5" t="inlineStr"/>
    </row>
    <row r="170" ht="22" customHeight="1">
      <c r="A170" s="5" t="inlineStr">
        <is>
          <t>Warehouse Alerts Drawer</t>
        </is>
      </c>
      <c r="B170" s="5" t="inlineStr">
        <is>
          <t>Drawer: manage warehouse alerts — Acknowledge, Return, Mark Cancelled</t>
        </is>
      </c>
      <c r="C170" s="5" t="inlineStr">
        <is>
          <t>FulfillmentView</t>
        </is>
      </c>
      <c r="D170" s="5" t="inlineStr">
        <is>
          <t>Drawer</t>
        </is>
      </c>
      <c r="E170" s="5" t="inlineStr"/>
      <c r="F170" s="5" t="inlineStr"/>
    </row>
    <row r="172" ht="26" customHeight="1">
      <c r="A172" s="3">
        <f>== FULFILLMENT — Picks/Lines Split Views (SX-K06) ===</f>
        <v/>
      </c>
      <c r="B172" s="4" t="inlineStr"/>
      <c r="C172" s="4" t="inlineStr"/>
      <c r="D172" s="4" t="inlineStr"/>
      <c r="E172" s="4" t="inlineStr"/>
      <c r="F172" s="4" t="inlineStr"/>
    </row>
    <row r="173" ht="22" customHeight="1">
      <c r="A173" s="6" t="inlineStr">
        <is>
          <t>Fulfillment Picks Split View</t>
        </is>
      </c>
      <c r="B173" s="6" t="inlineStr">
        <is>
          <t>Separate filter slot for fulfillment picks grid</t>
        </is>
      </c>
      <c r="C173" s="6" t="inlineStr">
        <is>
          <t>fulfillment-picks</t>
        </is>
      </c>
      <c r="D173" s="6" t="inlineStr">
        <is>
          <t>Grid (Filter Slot)</t>
        </is>
      </c>
      <c r="E173" s="6" t="inlineStr"/>
      <c r="F173" s="6" t="inlineStr">
        <is>
          <t>NEW — 2026-06: SX-K06 split picks filter slot from lines</t>
        </is>
      </c>
    </row>
    <row r="174" ht="22" customHeight="1">
      <c r="A174" s="6" t="inlineStr">
        <is>
          <t>Fulfillment Lines Split View</t>
        </is>
      </c>
      <c r="B174" s="6" t="inlineStr">
        <is>
          <t>Separate filter slot for fulfillment lines grid</t>
        </is>
      </c>
      <c r="C174" s="6" t="inlineStr">
        <is>
          <t>fulfillment-lines</t>
        </is>
      </c>
      <c r="D174" s="6" t="inlineStr">
        <is>
          <t>Grid (Filter Slot)</t>
        </is>
      </c>
      <c r="E174" s="6" t="inlineStr"/>
      <c r="F174" s="6" t="inlineStr">
        <is>
          <t>NEW — 2026-06: SX-K06 split lines filter slot from picks</t>
        </is>
      </c>
    </row>
    <row r="176" ht="26" customHeight="1">
      <c r="A176" s="3">
        <f>== PICK QUEUE (Warehouse Operator) ===</f>
        <v/>
      </c>
      <c r="B176" s="4" t="inlineStr"/>
      <c r="C176" s="4" t="inlineStr"/>
      <c r="D176" s="4" t="inlineStr"/>
      <c r="E176" s="4" t="inlineStr"/>
      <c r="F176" s="4" t="inlineStr"/>
    </row>
    <row r="177" ht="22" customHeight="1">
      <c r="A177" s="5" t="inlineStr">
        <is>
          <t>Pick List Queue Grid</t>
        </is>
      </c>
      <c r="B177" s="5" t="inlineStr">
        <is>
          <t>All open pick lists grouped by status (Needs Picking, In Progress) with ID, # Lines, Age</t>
        </is>
      </c>
      <c r="C177" s="5" t="inlineStr">
        <is>
          <t>PickView</t>
        </is>
      </c>
      <c r="D177" s="5" t="inlineStr">
        <is>
          <t>Grid</t>
        </is>
      </c>
      <c r="E177" s="5" t="inlineStr"/>
      <c r="F177" s="5" t="inlineStr"/>
    </row>
    <row r="178" ht="22" customHeight="1">
      <c r="A178" s="5" t="inlineStr">
        <is>
          <t>Pick Line Screen Navigation</t>
        </is>
      </c>
      <c r="B178" s="5" t="inlineStr">
        <is>
          <t>Click a pick list → navigate to Pick Line screen</t>
        </is>
      </c>
      <c r="C178" s="5" t="inlineStr">
        <is>
          <t>PickView</t>
        </is>
      </c>
      <c r="D178" s="5" t="inlineStr">
        <is>
          <t>Navigation</t>
        </is>
      </c>
      <c r="E178" s="5" t="inlineStr"/>
      <c r="F178" s="5" t="inlineStr"/>
    </row>
    <row r="179" ht="22" customHeight="1">
      <c r="A179" s="5" t="inlineStr">
        <is>
          <t>Pick Queue Screen (Mobile)</t>
        </is>
      </c>
      <c r="B179" s="5" t="inlineStr">
        <is>
          <t>Initial picking flow screen — tap a pick list to start</t>
        </is>
      </c>
      <c r="C179" s="5" t="inlineStr">
        <is>
          <t>PickLineScreen</t>
        </is>
      </c>
      <c r="D179" s="5" t="inlineStr">
        <is>
          <t>Panel (Mobile)</t>
        </is>
      </c>
      <c r="E179" s="5" t="inlineStr">
        <is>
          <t>N/A (mobile)</t>
        </is>
      </c>
      <c r="F179" s="5" t="inlineStr"/>
    </row>
    <row r="180" ht="22" customHeight="1">
      <c r="A180" s="5" t="inlineStr">
        <is>
          <t>Pick List Line Items Screen</t>
        </is>
      </c>
      <c r="B180" s="5" t="inlineStr">
        <is>
          <t>Line items for single pick list — tap a line to weigh and pack</t>
        </is>
      </c>
      <c r="C180" s="5" t="inlineStr">
        <is>
          <t>PickListScreen</t>
        </is>
      </c>
      <c r="D180" s="5" t="inlineStr">
        <is>
          <t>Panel (Mobile)</t>
        </is>
      </c>
      <c r="E180" s="5" t="inlineStr">
        <is>
          <t>N/A (mobile)</t>
        </is>
      </c>
      <c r="F180" s="5" t="inlineStr"/>
    </row>
    <row r="181" ht="22" customHeight="1">
      <c r="A181" s="5" t="inlineStr">
        <is>
          <t>Pick Line Pack Screen</t>
        </is>
      </c>
      <c r="B181" s="5" t="inlineStr">
        <is>
          <t>Main packing screen: weight input + keypad</t>
        </is>
      </c>
      <c r="C181" s="5" t="inlineStr">
        <is>
          <t>PickLineScreen</t>
        </is>
      </c>
      <c r="D181" s="5" t="inlineStr">
        <is>
          <t>Panel (Mobile)</t>
        </is>
      </c>
      <c r="E181" s="5" t="inlineStr">
        <is>
          <t>N/A (mobile)</t>
        </is>
      </c>
      <c r="F181" s="5" t="inlineStr"/>
    </row>
    <row r="182" ht="22" customHeight="1">
      <c r="A182" s="5" t="inlineStr">
        <is>
          <t>Numeric Keypad Input</t>
        </is>
      </c>
      <c r="B182" s="5" t="inlineStr">
        <is>
          <t>Custom on-screen numeric keypad for weight entry</t>
        </is>
      </c>
      <c r="C182" s="5" t="inlineStr">
        <is>
          <t>PickLineScreen</t>
        </is>
      </c>
      <c r="D182" s="5" t="inlineStr">
        <is>
          <t>Input (Mobile)</t>
        </is>
      </c>
      <c r="E182" s="5" t="inlineStr">
        <is>
          <t>N/A (mobile)</t>
        </is>
      </c>
      <c r="F182" s="5" t="inlineStr"/>
    </row>
    <row r="183" ht="22" customHeight="1">
      <c r="A183" s="5" t="inlineStr">
        <is>
          <t>Tare/Zero Scale Action</t>
        </is>
      </c>
      <c r="B183" s="5" t="inlineStr">
        <is>
          <t>Button to tare/zero the scale</t>
        </is>
      </c>
      <c r="C183" s="5" t="inlineStr">
        <is>
          <t>PickLineScreen</t>
        </is>
      </c>
      <c r="D183" s="5" t="inlineStr">
        <is>
          <t>Inline Action (Mobile)</t>
        </is>
      </c>
      <c r="E183" s="5" t="inlineStr">
        <is>
          <t>N/A (mobile)</t>
        </is>
      </c>
      <c r="F183" s="5" t="inlineStr"/>
    </row>
    <row r="184" ht="22" customHeight="1">
      <c r="A184" s="5" t="inlineStr">
        <is>
          <t>Confirm Pack Action</t>
        </is>
      </c>
      <c r="B184" s="5" t="inlineStr">
        <is>
          <t>Confirm weight and mark line as packed</t>
        </is>
      </c>
      <c r="C184" s="5" t="inlineStr">
        <is>
          <t>PickLineScreen</t>
        </is>
      </c>
      <c r="D184" s="5" t="inlineStr">
        <is>
          <t>Workflow (Mobile)</t>
        </is>
      </c>
      <c r="E184" s="5" t="inlineStr">
        <is>
          <t>N/A (mobile)</t>
        </is>
      </c>
      <c r="F184" s="5" t="inlineStr"/>
    </row>
    <row r="185" ht="22" customHeight="1">
      <c r="A185" s="5" t="inlineStr">
        <is>
          <t>Pick View (Mobile Route)</t>
        </is>
      </c>
      <c r="B185" s="5" t="inlineStr">
        <is>
          <t>PickView also mounted at /mobile/pick as warehouse operator tab</t>
        </is>
      </c>
      <c r="C185" s="5" t="inlineStr">
        <is>
          <t>PickView</t>
        </is>
      </c>
      <c r="D185" s="5" t="inlineStr">
        <is>
          <t>Page (Mobile)</t>
        </is>
      </c>
      <c r="E185" s="5" t="inlineStr">
        <is>
          <t>N/A (mobile)</t>
        </is>
      </c>
      <c r="F185" s="5" t="inlineStr"/>
    </row>
    <row r="187" ht="26" customHeight="1">
      <c r="A187" s="3">
        <f>== PAYMENTS ===</f>
        <v/>
      </c>
      <c r="B187" s="4" t="inlineStr"/>
      <c r="C187" s="4" t="inlineStr"/>
      <c r="D187" s="4" t="inlineStr"/>
      <c r="E187" s="4" t="inlineStr"/>
      <c r="F187" s="4" t="inlineStr"/>
    </row>
    <row r="188" ht="22" customHeight="1">
      <c r="A188" s="5" t="inlineStr">
        <is>
          <t>Quick Ledger Grid</t>
        </is>
      </c>
      <c r="B188" s="5" t="inlineStr">
        <is>
          <t>Top panel: quick entry for cash, check, wire, crypto receipts</t>
        </is>
      </c>
      <c r="C188" s="5" t="inlineStr">
        <is>
          <t>PaymentsView</t>
        </is>
      </c>
      <c r="D188" s="5" t="inlineStr">
        <is>
          <t>Panel</t>
        </is>
      </c>
      <c r="E188" s="5" t="inlineStr"/>
      <c r="F188" s="5" t="inlineStr">
        <is>
          <t>2026-06-18: PaymentsView modernization — chrome swap to GridView template (T2)</t>
        </is>
      </c>
    </row>
    <row r="189" ht="22" customHeight="1">
      <c r="A189" s="5" t="inlineStr">
        <is>
          <t>Payments Grid</t>
        </is>
      </c>
      <c r="B189" s="5" t="inlineStr">
        <is>
          <t>Main AG Grid of all payment records</t>
        </is>
      </c>
      <c r="C189" s="5" t="inlineStr">
        <is>
          <t>PaymentsView</t>
        </is>
      </c>
      <c r="D189" s="5" t="inlineStr">
        <is>
          <t>Grid</t>
        </is>
      </c>
      <c r="E189" s="5" t="inlineStr"/>
      <c r="F189" s="5" t="inlineStr"/>
    </row>
    <row r="190" ht="22" customHeight="1">
      <c r="A190" s="5" t="inlineStr">
        <is>
          <t>Unapplied Count Badge</t>
        </is>
      </c>
      <c r="B190" s="5" t="inlineStr">
        <is>
          <t>Live badge showing count of payments with unapplied balance</t>
        </is>
      </c>
      <c r="C190" s="5" t="inlineStr">
        <is>
          <t>PaymentsView</t>
        </is>
      </c>
      <c r="D190" s="5" t="inlineStr">
        <is>
          <t>Panel / Badge</t>
        </is>
      </c>
      <c r="E190" s="5" t="inlineStr"/>
      <c r="F190" s="5" t="inlineStr"/>
    </row>
    <row r="191" ht="22" customHeight="1">
      <c r="A191" s="5" t="inlineStr">
        <is>
          <t>Filter Preset Strip</t>
        </is>
      </c>
      <c r="B191" s="5" t="inlineStr">
        <is>
          <t>Pre-configured: Unpaid, Overdue, Unapplied</t>
        </is>
      </c>
      <c r="C191" s="5" t="inlineStr">
        <is>
          <t>PaymentsView</t>
        </is>
      </c>
      <c r="D191" s="5" t="inlineStr">
        <is>
          <t>Filter</t>
        </is>
      </c>
      <c r="E191" s="5" t="inlineStr"/>
      <c r="F191" s="5" t="inlineStr"/>
    </row>
    <row r="192" ht="22" customHeight="1">
      <c r="A192" s="5" t="inlineStr">
        <is>
          <t>Status Action Bar</t>
        </is>
      </c>
      <c r="B192" s="5" t="inlineStr">
        <is>
          <t>Toolbar for selected payments: Auto-apply oldest, Allocate remaining</t>
        </is>
      </c>
      <c r="C192" s="5" t="inlineStr">
        <is>
          <t>PaymentsView</t>
        </is>
      </c>
      <c r="D192" s="5" t="inlineStr">
        <is>
          <t>Toolbar Action</t>
        </is>
      </c>
      <c r="E192" s="5" t="inlineStr"/>
      <c r="F192" s="5" t="inlineStr"/>
    </row>
    <row r="193" ht="22" customHeight="1">
      <c r="A193" s="5" t="inlineStr">
        <is>
          <t>Payment Allocations Panel</t>
        </is>
      </c>
      <c r="B193" s="5" t="inlineStr">
        <is>
          <t>Panel on payment selection: existing allocations + unallocate / apply discounts</t>
        </is>
      </c>
      <c r="C193" s="5" t="inlineStr">
        <is>
          <t>PaymentsView</t>
        </is>
      </c>
      <c r="D193" s="5" t="inlineStr">
        <is>
          <t>Panel</t>
        </is>
      </c>
      <c r="E193" s="5" t="inlineStr"/>
      <c r="F193" s="5" t="inlineStr"/>
    </row>
    <row r="194" ht="22" customHeight="1">
      <c r="A194" s="5" t="inlineStr">
        <is>
          <t>Inspector Drawer</t>
        </is>
      </c>
      <c r="B194" s="5" t="inlineStr">
        <is>
          <t>Tabs: Receipt and Linked Orders</t>
        </is>
      </c>
      <c r="C194" s="5" t="inlineStr">
        <is>
          <t>PaymentsView</t>
        </is>
      </c>
      <c r="D194" s="5" t="inlineStr">
        <is>
          <t>Drawer</t>
        </is>
      </c>
      <c r="E194" s="5" t="inlineStr"/>
      <c r="F194" s="5" t="inlineStr"/>
    </row>
    <row r="196" ht="26" customHeight="1">
      <c r="A196" s="3">
        <f>== CLIENT BALANCES (Client Ledger) ===</f>
        <v/>
      </c>
      <c r="B196" s="4" t="inlineStr"/>
      <c r="C196" s="4" t="inlineStr"/>
      <c r="D196" s="4" t="inlineStr"/>
      <c r="E196" s="4" t="inlineStr"/>
      <c r="F196" s="4" t="inlineStr"/>
    </row>
    <row r="197" ht="22" customHeight="1">
      <c r="A197" s="5" t="inlineStr">
        <is>
          <t>Client Balances Grid</t>
        </is>
      </c>
      <c r="B197" s="5" t="inlineStr">
        <is>
          <t>AG Grid of all clients with balances</t>
        </is>
      </c>
      <c r="C197" s="5" t="inlineStr">
        <is>
          <t>ClientLedgerView</t>
        </is>
      </c>
      <c r="D197" s="5" t="inlineStr">
        <is>
          <t>Grid</t>
        </is>
      </c>
      <c r="E197" s="5" t="inlineStr"/>
      <c r="F197" s="5" t="inlineStr"/>
    </row>
    <row r="198" ht="22" customHeight="1">
      <c r="A198" s="5" t="inlineStr">
        <is>
          <t>Client Name Link</t>
        </is>
      </c>
      <c r="B198" s="5" t="inlineStr">
        <is>
          <t>Client name is a button navigating to Contact Profile view</t>
        </is>
      </c>
      <c r="C198" s="5" t="inlineStr">
        <is>
          <t>ClientLedgerView</t>
        </is>
      </c>
      <c r="D198" s="5" t="inlineStr">
        <is>
          <t>Navigation</t>
        </is>
      </c>
      <c r="E198" s="5" t="inlineStr"/>
      <c r="F198" s="5" t="inlineStr"/>
    </row>
    <row r="199" ht="22" customHeight="1">
      <c r="A199" s="5" t="inlineStr">
        <is>
          <t>Link Contact Action</t>
        </is>
      </c>
      <c r="B199" s="5" t="inlineStr">
        <is>
          <t>Inline button for unlinked clients to link to contact profile</t>
        </is>
      </c>
      <c r="C199" s="5" t="inlineStr">
        <is>
          <t>ClientLedgerView</t>
        </is>
      </c>
      <c r="D199" s="5" t="inlineStr">
        <is>
          <t>Inline Action</t>
        </is>
      </c>
      <c r="E199" s="5" t="inlineStr"/>
      <c r="F199" s="5" t="inlineStr"/>
    </row>
    <row r="200" ht="22" customHeight="1">
      <c r="A200" s="5" t="inlineStr">
        <is>
          <t>Matchmaking Column</t>
        </is>
      </c>
      <c r="B200" s="5" t="inlineStr">
        <is>
          <t>Optional column showing matchmaking activity with link to Matchmaking view (filtered)</t>
        </is>
      </c>
      <c r="C200" s="5" t="inlineStr">
        <is>
          <t>ClientLedgerView</t>
        </is>
      </c>
      <c r="D200" s="5" t="inlineStr">
        <is>
          <t>Grid</t>
        </is>
      </c>
      <c r="E200" s="5" t="inlineStr"/>
      <c r="F200" s="5" t="inlineStr"/>
    </row>
    <row r="202" ht="26" customHeight="1">
      <c r="A202" s="3">
        <f>== VENDOR PAYOUTS (Vendor Payables) ===</f>
        <v/>
      </c>
      <c r="B202" s="4" t="inlineStr"/>
      <c r="C202" s="4" t="inlineStr"/>
      <c r="D202" s="4" t="inlineStr"/>
      <c r="E202" s="4" t="inlineStr"/>
      <c r="F202" s="4" t="inlineStr"/>
    </row>
    <row r="203" ht="22" customHeight="1">
      <c r="A203" s="5" t="inlineStr">
        <is>
          <t>Vendor Payouts Grid</t>
        </is>
      </c>
      <c r="B203" s="5" t="inlineStr">
        <is>
          <t>AG Grid of all vendor bills</t>
        </is>
      </c>
      <c r="C203" s="5" t="inlineStr">
        <is>
          <t>VendorPayablesView</t>
        </is>
      </c>
      <c r="D203" s="5" t="inlineStr">
        <is>
          <t>Grid</t>
        </is>
      </c>
      <c r="E203" s="5" t="inlineStr"/>
      <c r="F203" s="5" t="inlineStr"/>
    </row>
    <row r="204" ht="22" customHeight="1">
      <c r="A204" s="5" t="inlineStr">
        <is>
          <t>Vendor Name Link</t>
        </is>
      </c>
      <c r="B204" s="5" t="inlineStr">
        <is>
          <t>Vendor name is button navigating to vendor Contact Profile</t>
        </is>
      </c>
      <c r="C204" s="5" t="inlineStr">
        <is>
          <t>VendorPayablesView</t>
        </is>
      </c>
      <c r="D204" s="5" t="inlineStr">
        <is>
          <t>Navigation</t>
        </is>
      </c>
      <c r="E204" s="5" t="inlineStr"/>
      <c r="F204" s="5" t="inlineStr"/>
    </row>
    <row r="205" ht="22" customHeight="1">
      <c r="A205" s="5" t="inlineStr">
        <is>
          <t>Record Payout Panel</t>
        </is>
      </c>
      <c r="B205" s="5" t="inlineStr">
        <is>
          <t>Panel for recording payout: date, method, amount inputs</t>
        </is>
      </c>
      <c r="C205" s="5" t="inlineStr">
        <is>
          <t>VendorPayablesView</t>
        </is>
      </c>
      <c r="D205" s="5" t="inlineStr">
        <is>
          <t>Panel</t>
        </is>
      </c>
      <c r="E205" s="5" t="inlineStr"/>
      <c r="F205" s="5" t="inlineStr"/>
    </row>
    <row r="206" ht="22" customHeight="1">
      <c r="A206" s="5" t="inlineStr">
        <is>
          <t>Vendor Bill Tools Panel</t>
        </is>
      </c>
      <c r="B206" s="5" t="inlineStr">
        <is>
          <t>Panel: manually create new bills, view/void past payouts</t>
        </is>
      </c>
      <c r="C206" s="5" t="inlineStr">
        <is>
          <t>VendorPayablesView</t>
        </is>
      </c>
      <c r="D206" s="5" t="inlineStr">
        <is>
          <t>Panel</t>
        </is>
      </c>
      <c r="E206" s="5" t="inlineStr"/>
      <c r="F206" s="5" t="inlineStr"/>
    </row>
    <row r="207" ht="22" customHeight="1">
      <c r="A207" s="5" t="inlineStr">
        <is>
          <t>Edit Vendor Dialog</t>
        </is>
      </c>
      <c r="B207" s="5" t="inlineStr">
        <is>
          <t>Modal for editing vendor details</t>
        </is>
      </c>
      <c r="C207" s="5" t="inlineStr">
        <is>
          <t>VendorPayablesView</t>
        </is>
      </c>
      <c r="D207" s="5" t="inlineStr">
        <is>
          <t>Modal</t>
        </is>
      </c>
      <c r="E207" s="5" t="inlineStr"/>
      <c r="F207" s="5" t="inlineStr"/>
    </row>
    <row r="208" ht="22" customHeight="1">
      <c r="A208" s="5" t="inlineStr">
        <is>
          <t>Status Action Bar</t>
        </is>
      </c>
      <c r="B208" s="5" t="inlineStr">
        <is>
          <t>Toolbar: Approve, Schedule, Pay now</t>
        </is>
      </c>
      <c r="C208" s="5" t="inlineStr">
        <is>
          <t>VendorPayablesView</t>
        </is>
      </c>
      <c r="D208" s="5" t="inlineStr">
        <is>
          <t>Toolbar Action</t>
        </is>
      </c>
      <c r="E208" s="5" t="inlineStr"/>
      <c r="F208" s="5" t="inlineStr"/>
    </row>
    <row r="209" ht="22" customHeight="1">
      <c r="A209" s="5" t="inlineStr">
        <is>
          <t>Expansion Row Actions</t>
        </is>
      </c>
      <c r="B209" s="5" t="inlineStr">
        <is>
          <t>Inline actions per bill row: Approve, Schedule, Pay, Void (status-dependent)</t>
        </is>
      </c>
      <c r="C209" s="5" t="inlineStr">
        <is>
          <t>VendorPayablesView</t>
        </is>
      </c>
      <c r="D209" s="5" t="inlineStr">
        <is>
          <t>Inline Action</t>
        </is>
      </c>
      <c r="E209" s="5" t="inlineStr"/>
      <c r="F209" s="5" t="inlineStr"/>
    </row>
    <row r="211" ht="26" customHeight="1">
      <c r="A211" s="3">
        <f>== CLOSEOUT ===</f>
        <v/>
      </c>
      <c r="B211" s="4" t="inlineStr"/>
      <c r="C211" s="4" t="inlineStr"/>
      <c r="D211" s="4" t="inlineStr"/>
      <c r="E211" s="4" t="inlineStr"/>
      <c r="F211" s="4" t="inlineStr"/>
    </row>
    <row r="212" ht="22" customHeight="1">
      <c r="A212" s="5" t="inlineStr">
        <is>
          <t>Closeout Checklist</t>
        </is>
      </c>
      <c r="B212" s="5" t="inlineStr">
        <is>
          <t>Side panel: checklist of tasks (Post orders, Reconcile payments, etc.) with links to views</t>
        </is>
      </c>
      <c r="C212" s="5" t="inlineStr">
        <is>
          <t>CloseoutView</t>
        </is>
      </c>
      <c r="D212" s="5" t="inlineStr">
        <is>
          <t>Panel</t>
        </is>
      </c>
      <c r="E212" s="5" t="inlineStr"/>
      <c r="F212" s="5" t="inlineStr"/>
    </row>
    <row r="213" ht="22" customHeight="1">
      <c r="A213" s="5" t="inlineStr">
        <is>
          <t>Open Orders Grid</t>
        </is>
      </c>
      <c r="B213" s="5" t="inlineStr">
        <is>
          <t>Grid of open sales orders needing post or cancel</t>
        </is>
      </c>
      <c r="C213" s="5" t="inlineStr">
        <is>
          <t>CloseoutView</t>
        </is>
      </c>
      <c r="D213" s="5" t="inlineStr">
        <is>
          <t>Grid</t>
        </is>
      </c>
      <c r="E213" s="5" t="inlineStr"/>
      <c r="F213" s="5" t="inlineStr"/>
    </row>
    <row r="214" ht="22" customHeight="1">
      <c r="A214" s="5" t="inlineStr">
        <is>
          <t>Unreconciled Payments Grid</t>
        </is>
      </c>
      <c r="B214" s="5" t="inlineStr">
        <is>
          <t>Grid of payments with unapplied balances</t>
        </is>
      </c>
      <c r="C214" s="5" t="inlineStr">
        <is>
          <t>CloseoutView</t>
        </is>
      </c>
      <c r="D214" s="5" t="inlineStr">
        <is>
          <t>Grid</t>
        </is>
      </c>
      <c r="E214" s="5" t="inlineStr"/>
      <c r="F214" s="5" t="inlineStr"/>
    </row>
    <row r="215" ht="22" customHeight="1">
      <c r="A215" s="5" t="inlineStr">
        <is>
          <t>Open Payables Grid</t>
        </is>
      </c>
      <c r="B215" s="5" t="inlineStr">
        <is>
          <t>Grid of vendor bills not yet paid/closed</t>
        </is>
      </c>
      <c r="C215" s="5" t="inlineStr">
        <is>
          <t>CloseoutView</t>
        </is>
      </c>
      <c r="D215" s="5" t="inlineStr">
        <is>
          <t>Grid</t>
        </is>
      </c>
      <c r="E215" s="5" t="inlineStr"/>
      <c r="F215" s="5" t="inlineStr"/>
    </row>
    <row r="216" ht="22" customHeight="1">
      <c r="A216" s="5" t="inlineStr">
        <is>
          <t>Draft Intake Grid</t>
        </is>
      </c>
      <c r="B216" s="5" t="inlineStr">
        <is>
          <t>Grid of intake batches still in draft</t>
        </is>
      </c>
      <c r="C216" s="5" t="inlineStr">
        <is>
          <t>CloseoutView</t>
        </is>
      </c>
      <c r="D216" s="5" t="inlineStr">
        <is>
          <t>Grid</t>
        </is>
      </c>
      <c r="E216" s="5" t="inlineStr"/>
      <c r="F216" s="5" t="inlineStr"/>
    </row>
    <row r="217" ht="22" customHeight="1">
      <c r="A217" s="5" t="inlineStr">
        <is>
          <t>Period Lock/Archive Actions</t>
        </is>
      </c>
      <c r="B217" s="5" t="inlineStr">
        <is>
          <t>Owner-gated buttons: Post Period Adjustments, Lock Period, Archive Period</t>
        </is>
      </c>
      <c r="C217" s="5" t="inlineStr">
        <is>
          <t>CloseoutView</t>
        </is>
      </c>
      <c r="D217" s="5" t="inlineStr">
        <is>
          <t>Workflow</t>
        </is>
      </c>
      <c r="E217" s="5" t="inlineStr"/>
      <c r="F217" s="5" t="inlineStr"/>
    </row>
    <row r="219" ht="26" customHeight="1">
      <c r="A219" s="3">
        <f>== RECOVERY ===</f>
        <v/>
      </c>
      <c r="B219" s="4" t="inlineStr"/>
      <c r="C219" s="4" t="inlineStr"/>
      <c r="D219" s="4" t="inlineStr"/>
      <c r="E219" s="4" t="inlineStr"/>
      <c r="F219" s="4" t="inlineStr"/>
    </row>
    <row r="220" ht="22" customHeight="1">
      <c r="A220" s="5" t="inlineStr">
        <is>
          <t>Command History Grid</t>
        </is>
      </c>
      <c r="B220" s="5" t="inlineStr">
        <is>
          <t>AG Grid of all commands run: Command, Actor, Target, Status, Created At</t>
        </is>
      </c>
      <c r="C220" s="5" t="inlineStr">
        <is>
          <t>RecoveryView</t>
        </is>
      </c>
      <c r="D220" s="5" t="inlineStr">
        <is>
          <t>Grid</t>
        </is>
      </c>
      <c r="E220" s="5" t="inlineStr"/>
      <c r="F220" s="5" t="inlineStr">
        <is>
          <t>2026-06-18: RecoveryView modernization (T2) — FilterToolbar added</t>
        </is>
      </c>
    </row>
    <row r="221" ht="22" customHeight="1">
      <c r="A221" s="5" t="inlineStr">
        <is>
          <t>Command Family Filter Chips</t>
        </is>
      </c>
      <c r="B221" s="5" t="inlineStr">
        <is>
          <t>Filter buttons by area: Intake, PO, Sales, etc.</t>
        </is>
      </c>
      <c r="C221" s="5" t="inlineStr">
        <is>
          <t>RecoveryView</t>
        </is>
      </c>
      <c r="D221" s="5" t="inlineStr">
        <is>
          <t>Filter</t>
        </is>
      </c>
      <c r="E221" s="5" t="inlineStr"/>
      <c r="F221" s="5" t="inlineStr"/>
    </row>
    <row r="222" ht="22" customHeight="1">
      <c r="A222" s="5" t="inlineStr">
        <is>
          <t>User Filter</t>
        </is>
      </c>
      <c r="B222" s="5" t="inlineStr">
        <is>
          <t>Dropdown to filter by user who executed command</t>
        </is>
      </c>
      <c r="C222" s="5" t="inlineStr">
        <is>
          <t>RecoveryView</t>
        </is>
      </c>
      <c r="D222" s="5" t="inlineStr">
        <is>
          <t>Filter</t>
        </is>
      </c>
      <c r="E222" s="5" t="inlineStr"/>
      <c r="F222" s="5" t="inlineStr"/>
    </row>
    <row r="223" ht="22" customHeight="1">
      <c r="A223" s="5" t="inlineStr">
        <is>
          <t>Command Reversal</t>
        </is>
      </c>
      <c r="B223" s="5" t="inlineStr">
        <is>
          <t>Inline action on reversible commands — shows confirmation dialog with guidance</t>
        </is>
      </c>
      <c r="C223" s="5" t="inlineStr">
        <is>
          <t>RecoveryView</t>
        </is>
      </c>
      <c r="D223" s="5" t="inlineStr">
        <is>
          <t>Workflow</t>
        </is>
      </c>
      <c r="E223" s="5" t="inlineStr"/>
      <c r="F223" s="5" t="inlineStr"/>
    </row>
    <row r="224" ht="22" customHeight="1">
      <c r="A224" s="5" t="inlineStr">
        <is>
          <t>Command Reversal Guidance</t>
        </is>
      </c>
      <c r="B224" s="5" t="inlineStr">
        <is>
          <t>Dialog displays catalog guidance about reversal implications</t>
        </is>
      </c>
      <c r="C224" s="5" t="inlineStr">
        <is>
          <t>RecoveryView</t>
        </is>
      </c>
      <c r="D224" s="5" t="inlineStr">
        <is>
          <t>Modal</t>
        </is>
      </c>
      <c r="E224" s="5" t="inlineStr"/>
      <c r="F224" s="5" t="inlineStr"/>
    </row>
    <row r="225" ht="22" customHeight="1">
      <c r="A225" s="5" t="inlineStr">
        <is>
          <t>Command Journal Drawer</t>
        </is>
      </c>
      <c r="B225" s="5" t="inlineStr">
        <is>
          <t>Drawer showing raw JSON payload + snapshot for selected command log entry</t>
        </is>
      </c>
      <c r="C225" s="5" t="inlineStr">
        <is>
          <t>RecoveryView</t>
        </is>
      </c>
      <c r="D225" s="5" t="inlineStr">
        <is>
          <t>Drawer</t>
        </is>
      </c>
      <c r="E225" s="5" t="inlineStr"/>
      <c r="F225" s="5" t="inlineStr"/>
    </row>
    <row r="226" ht="22" customHeight="1">
      <c r="A226" s="5" t="inlineStr">
        <is>
          <t>Backup Restore Panel</t>
        </is>
      </c>
      <c r="B226" s="5" t="inlineStr">
        <is>
          <t>Owner-gated: select backup point, preview database state</t>
        </is>
      </c>
      <c r="C226" s="5" t="inlineStr">
        <is>
          <t>RecoveryView</t>
        </is>
      </c>
      <c r="D226" s="5" t="inlineStr">
        <is>
          <t>Panel</t>
        </is>
      </c>
      <c r="E226" s="5" t="inlineStr"/>
      <c r="F226" s="5" t="inlineStr"/>
    </row>
    <row r="228" ht="26" customHeight="1">
      <c r="A228" s="3">
        <f>== SETTINGS ===</f>
        <v/>
      </c>
      <c r="B228" s="4" t="inlineStr"/>
      <c r="C228" s="4" t="inlineStr"/>
      <c r="D228" s="4" t="inlineStr"/>
      <c r="E228" s="4" t="inlineStr"/>
      <c r="F228" s="4" t="inlineStr"/>
    </row>
    <row r="229" ht="22" customHeight="1">
      <c r="A229" s="5" t="inlineStr">
        <is>
          <t>Settings Navigation Tabs</t>
        </is>
      </c>
      <c r="B229" s="5" t="inlineStr">
        <is>
          <t>Tabs: Strain Aliases, Pricing, System (manager+), Credit Engine (owner), Requests (+ redirect links to Recovery/Closeout)</t>
        </is>
      </c>
      <c r="C229" s="5" t="inlineStr">
        <is>
          <t>SettingsView</t>
        </is>
      </c>
      <c r="D229" s="5" t="inlineStr">
        <is>
          <t>Navigation</t>
        </is>
      </c>
      <c r="E229" s="5" t="inlineStr"/>
      <c r="F229" s="5" t="inlineStr">
        <is>
          <t>2026-06-18: SettingsView modernization (T1)</t>
        </is>
      </c>
    </row>
    <row r="230" ht="22" customHeight="1">
      <c r="A230" s="5" t="inlineStr">
        <is>
          <t>Settings Tab: System</t>
        </is>
      </c>
      <c r="B230" s="5" t="inlineStr">
        <is>
          <t>System-wide settings: transaction types grid + system configuration</t>
        </is>
      </c>
      <c r="C230" s="5" t="inlineStr">
        <is>
          <t>SettingsView</t>
        </is>
      </c>
      <c r="D230" s="5" t="inlineStr">
        <is>
          <t>Setting</t>
        </is>
      </c>
      <c r="E230" s="5" t="inlineStr"/>
      <c r="F230" s="5" t="inlineStr"/>
    </row>
    <row r="231" ht="22" customHeight="1">
      <c r="A231" s="5" t="inlineStr">
        <is>
          <t>System Tab — Transaction Types</t>
        </is>
      </c>
      <c r="B231" s="5" t="inlineStr">
        <is>
          <t>Editable grid to create/manage custom ledger transaction types</t>
        </is>
      </c>
      <c r="C231" s="5" t="inlineStr">
        <is>
          <t>SettingsView</t>
        </is>
      </c>
      <c r="D231" s="5" t="inlineStr">
        <is>
          <t>Setting (Grid)</t>
        </is>
      </c>
      <c r="E231" s="5" t="inlineStr"/>
      <c r="F231" s="5" t="inlineStr"/>
    </row>
    <row r="232" ht="22" customHeight="1">
      <c r="A232" s="5" t="inlineStr">
        <is>
          <t>Settings Tab: Strain Aliases</t>
        </is>
      </c>
      <c r="B232" s="5" t="inlineStr">
        <is>
          <t>Editable grid mapping batch names to customer-facing aliases</t>
        </is>
      </c>
      <c r="C232" s="5" t="inlineStr">
        <is>
          <t>SettingsView</t>
        </is>
      </c>
      <c r="D232" s="5" t="inlineStr">
        <is>
          <t>Setting (Grid)</t>
        </is>
      </c>
      <c r="E232" s="5" t="inlineStr"/>
      <c r="F232" s="5" t="inlineStr"/>
    </row>
    <row r="233" ht="22" customHeight="1">
      <c r="A233" s="5" t="inlineStr">
        <is>
          <t>Settings Tab: Pricing</t>
        </is>
      </c>
      <c r="B233" s="5" t="inlineStr">
        <is>
          <t>Default pricing rule form + customer-specific pricing rules grid</t>
        </is>
      </c>
      <c r="C233" s="5" t="inlineStr">
        <is>
          <t>SettingsView</t>
        </is>
      </c>
      <c r="D233" s="5" t="inlineStr">
        <is>
          <t>Setting</t>
        </is>
      </c>
      <c r="E233" s="5" t="inlineStr"/>
      <c r="F233" s="5" t="inlineStr"/>
    </row>
    <row r="234" ht="22" customHeight="1">
      <c r="A234" s="5" t="inlineStr">
        <is>
          <t>Pricing Tab — Default Pricing Rule</t>
        </is>
      </c>
      <c r="B234" s="5" t="inlineStr">
        <is>
          <t>Form to set system-wide default pricing rule</t>
        </is>
      </c>
      <c r="C234" s="5" t="inlineStr">
        <is>
          <t>SettingsView</t>
        </is>
      </c>
      <c r="D234" s="5" t="inlineStr">
        <is>
          <t>Setting</t>
        </is>
      </c>
      <c r="E234" s="5" t="inlineStr"/>
      <c r="F234" s="5" t="inlineStr"/>
    </row>
    <row r="235" ht="22" customHeight="1">
      <c r="A235" s="5" t="inlineStr">
        <is>
          <t>Pricing Tab — Customer Pricing Rules</t>
        </is>
      </c>
      <c r="B235" s="5" t="inlineStr">
        <is>
          <t>Grid to set per-customer pricing rules</t>
        </is>
      </c>
      <c r="C235" s="5" t="inlineStr">
        <is>
          <t>SettingsView</t>
        </is>
      </c>
      <c r="D235" s="5" t="inlineStr">
        <is>
          <t>Setting</t>
        </is>
      </c>
      <c r="E235" s="5" t="inlineStr"/>
      <c r="F235" s="5" t="inlineStr"/>
    </row>
    <row r="236" ht="22" customHeight="1">
      <c r="A236" s="5" t="inlineStr">
        <is>
          <t>Settings Tab: Credit Engine</t>
        </is>
      </c>
      <c r="B236" s="5" t="inlineStr">
        <is>
          <t>Owner-gated: global engine config + stances grid</t>
        </is>
      </c>
      <c r="C236" s="5" t="inlineStr">
        <is>
          <t>SettingsView</t>
        </is>
      </c>
      <c r="D236" s="5" t="inlineStr">
        <is>
          <t>Setting</t>
        </is>
      </c>
      <c r="E236" s="5" t="inlineStr"/>
      <c r="F236" s="5" t="inlineStr"/>
    </row>
    <row r="237" ht="22" customHeight="1">
      <c r="A237" s="5" t="inlineStr">
        <is>
          <t>Credit Engine Tab — Config</t>
        </is>
      </c>
      <c r="B237" s="5" t="inlineStr">
        <is>
          <t>Form: default limits, risk tiers</t>
        </is>
      </c>
      <c r="C237" s="5" t="inlineStr">
        <is>
          <t>SettingsView</t>
        </is>
      </c>
      <c r="D237" s="5" t="inlineStr">
        <is>
          <t>Setting</t>
        </is>
      </c>
      <c r="E237" s="5" t="inlineStr"/>
      <c r="F237" s="5" t="inlineStr"/>
    </row>
    <row r="238" ht="22" customHeight="1">
      <c r="A238" s="5" t="inlineStr">
        <is>
          <t>Credit Engine Tab — Stances</t>
        </is>
      </c>
      <c r="B238" s="5" t="inlineStr">
        <is>
          <t>Editable grid: create/manage credit stances (Aggressive, Conservative, etc.)</t>
        </is>
      </c>
      <c r="C238" s="5" t="inlineStr">
        <is>
          <t>SettingsView</t>
        </is>
      </c>
      <c r="D238" s="5" t="inlineStr">
        <is>
          <t>Setting</t>
        </is>
      </c>
      <c r="E238" s="5" t="inlineStr"/>
      <c r="F238" s="5" t="inlineStr"/>
    </row>
    <row r="239" ht="22" customHeight="1">
      <c r="A239" s="5" t="inlineStr">
        <is>
          <t>Settings Tab: Requests</t>
        </is>
      </c>
      <c r="B239" s="5" t="inlineStr">
        <is>
          <t>Embedded ConnectorsView for connector request review (also canonical landing for /connectors + /processors when flagged off)</t>
        </is>
      </c>
      <c r="C239" s="5" t="inlineStr">
        <is>
          <t>SettingsView</t>
        </is>
      </c>
      <c r="D239" s="5" t="inlineStr">
        <is>
          <t>Setting</t>
        </is>
      </c>
      <c r="E239" s="5" t="inlineStr"/>
      <c r="F239" s="5" t="inlineStr"/>
    </row>
    <row r="241" ht="26" customHeight="1">
      <c r="A241" s="3">
        <f>== MEDIA / PHOTOGRAPHY ===</f>
        <v/>
      </c>
      <c r="B241" s="4" t="inlineStr"/>
      <c r="C241" s="4" t="inlineStr"/>
      <c r="D241" s="4" t="inlineStr"/>
      <c r="E241" s="4" t="inlineStr"/>
      <c r="F241" s="4" t="inlineStr"/>
    </row>
    <row r="242" ht="22" customHeight="1">
      <c r="A242" s="5" t="inlineStr">
        <is>
          <t>Photography Queue Grid</t>
        </is>
      </c>
      <c r="B242" s="5" t="inlineStr">
        <is>
          <t>AG Grid of inventory batches in photography queue</t>
        </is>
      </c>
      <c r="C242" s="5" t="inlineStr">
        <is>
          <t>MediaView</t>
        </is>
      </c>
      <c r="D242" s="5" t="inlineStr">
        <is>
          <t>Grid</t>
        </is>
      </c>
      <c r="E242" s="5" t="inlineStr"/>
      <c r="F242" s="5" t="inlineStr">
        <is>
          <t>2026-06-25: photography grid SQL fixed — use bms. prefixed columns</t>
        </is>
      </c>
    </row>
    <row r="243" ht="22" customHeight="1">
      <c r="A243" s="5" t="inlineStr">
        <is>
          <t>Filter Preset Strip</t>
        </is>
      </c>
      <c r="B243" s="5" t="inlineStr">
        <is>
          <t>Pre-configured: Needs Primary Photo, Awaiting Publication</t>
        </is>
      </c>
      <c r="C243" s="5" t="inlineStr">
        <is>
          <t>MediaView</t>
        </is>
      </c>
      <c r="D243" s="5" t="inlineStr">
        <is>
          <t>Filter</t>
        </is>
      </c>
      <c r="E243" s="5" t="inlineStr"/>
      <c r="F243" s="5" t="inlineStr"/>
    </row>
    <row r="244" ht="22" customHeight="1">
      <c r="A244" s="5" t="inlineStr">
        <is>
          <t>Media Upload Panel</t>
        </is>
      </c>
      <c r="B244" s="5" t="inlineStr">
        <is>
          <t>Drag-and-drop area for uploading media (appears on batch selection)</t>
        </is>
      </c>
      <c r="C244" s="5" t="inlineStr">
        <is>
          <t>MediaView</t>
        </is>
      </c>
      <c r="D244" s="5" t="inlineStr">
        <is>
          <t>Panel</t>
        </is>
      </c>
      <c r="E244" s="5" t="inlineStr"/>
      <c r="F244" s="5" t="inlineStr"/>
    </row>
    <row r="245" ht="22" customHeight="1">
      <c r="A245" s="5" t="inlineStr">
        <is>
          <t>Existing Media Gallery</t>
        </is>
      </c>
      <c r="B245" s="5" t="inlineStr">
        <is>
          <t>Gallery of already-uploaded media for selected batch</t>
        </is>
      </c>
      <c r="C245" s="5" t="inlineStr">
        <is>
          <t>MediaView</t>
        </is>
      </c>
      <c r="D245" s="5" t="inlineStr">
        <is>
          <t>Panel</t>
        </is>
      </c>
      <c r="E245" s="5" t="inlineStr"/>
      <c r="F245" s="5" t="inlineStr"/>
    </row>
    <row r="246" ht="22" customHeight="1">
      <c r="A246" s="5" t="inlineStr">
        <is>
          <t>Media Actions</t>
        </is>
      </c>
      <c r="B246" s="5" t="inlineStr">
        <is>
          <t>Per-item: Set as Primary, Publish, Delete</t>
        </is>
      </c>
      <c r="C246" s="5" t="inlineStr">
        <is>
          <t>MediaView</t>
        </is>
      </c>
      <c r="D246" s="5" t="inlineStr">
        <is>
          <t>Inline Action</t>
        </is>
      </c>
      <c r="E246" s="5" t="inlineStr"/>
      <c r="F246" s="5" t="inlineStr"/>
    </row>
    <row r="247" ht="22" customHeight="1">
      <c r="A247" s="5" t="inlineStr">
        <is>
          <t>Public Link Generation</t>
        </is>
      </c>
      <c r="B247" s="5" t="inlineStr">
        <is>
          <t>Generate shareable token-gated URL for direct photo uploads to batch</t>
        </is>
      </c>
      <c r="C247" s="5" t="inlineStr">
        <is>
          <t>MediaView</t>
        </is>
      </c>
      <c r="D247" s="5" t="inlineStr">
        <is>
          <t>Workflow</t>
        </is>
      </c>
      <c r="E247" s="5" t="inlineStr"/>
      <c r="F247" s="5" t="inlineStr"/>
    </row>
    <row r="248" ht="22" customHeight="1">
      <c r="A248" s="5" t="inlineStr">
        <is>
          <t>Mobile Photo Upload Route</t>
        </is>
      </c>
      <c r="B248" s="5" t="inlineStr">
        <is>
          <t>Dedicated mobile route /photography/mobile/:batchId for photo uploads</t>
        </is>
      </c>
      <c r="C248" s="5" t="inlineStr">
        <is>
          <t>MediaUploadMobile</t>
        </is>
      </c>
      <c r="D248" s="5" t="inlineStr">
        <is>
          <t>Page (Mobile)</t>
        </is>
      </c>
      <c r="E248" s="5" t="inlineStr">
        <is>
          <t>N/A (mobile)</t>
        </is>
      </c>
      <c r="F248" s="5" t="inlineStr">
        <is>
          <t>2026-06-25: now properly routed under React Router</t>
        </is>
      </c>
    </row>
    <row r="250" ht="26" customHeight="1">
      <c r="A250" s="3">
        <f>== CONTACTS ===</f>
        <v/>
      </c>
      <c r="B250" s="4" t="inlineStr"/>
      <c r="C250" s="4" t="inlineStr"/>
      <c r="D250" s="4" t="inlineStr"/>
      <c r="E250" s="4" t="inlineStr"/>
      <c r="F250" s="4" t="inlineStr"/>
    </row>
    <row r="251" ht="22" customHeight="1">
      <c r="A251" s="5" t="inlineStr">
        <is>
          <t>Contacts Grid</t>
        </is>
      </c>
      <c r="B251" s="5" t="inlineStr">
        <is>
          <t>AG Grid: Name, Company, Roles (Customer/Vendor/etc.), links to financial profiles</t>
        </is>
      </c>
      <c r="C251" s="5" t="inlineStr">
        <is>
          <t>ContactsView</t>
        </is>
      </c>
      <c r="D251" s="5" t="inlineStr">
        <is>
          <t>Grid</t>
        </is>
      </c>
      <c r="E251" s="5" t="inlineStr"/>
      <c r="F251" s="5" t="inlineStr"/>
    </row>
    <row r="252" ht="22" customHeight="1">
      <c r="A252" s="5" t="inlineStr">
        <is>
          <t>Filter Preset Strip</t>
        </is>
      </c>
      <c r="B252" s="5" t="inlineStr">
        <is>
          <t>Pre-configured: Customers, Vendors, Employees</t>
        </is>
      </c>
      <c r="C252" s="5" t="inlineStr">
        <is>
          <t>ContactsView</t>
        </is>
      </c>
      <c r="D252" s="5" t="inlineStr">
        <is>
          <t>Filter</t>
        </is>
      </c>
      <c r="E252" s="5" t="inlineStr"/>
      <c r="F252" s="5" t="inlineStr"/>
    </row>
    <row r="253" ht="22" customHeight="1">
      <c r="A253" s="5" t="inlineStr">
        <is>
          <t>New Contact Modal</t>
        </is>
      </c>
      <c r="B253" s="5" t="inlineStr">
        <is>
          <t>Modal form for creating new contact</t>
        </is>
      </c>
      <c r="C253" s="5" t="inlineStr">
        <is>
          <t>ContactsView</t>
        </is>
      </c>
      <c r="D253" s="5" t="inlineStr">
        <is>
          <t>Modal</t>
        </is>
      </c>
      <c r="E253" s="5" t="inlineStr"/>
      <c r="F253" s="5" t="inlineStr"/>
    </row>
    <row r="254" ht="22" customHeight="1">
      <c r="A254" s="5" t="inlineStr">
        <is>
          <t>New Appointment Modal</t>
        </is>
      </c>
      <c r="B254" s="5" t="inlineStr">
        <is>
          <t>Modal form for scheduling appointment (from selected contact)</t>
        </is>
      </c>
      <c r="C254" s="5" t="inlineStr">
        <is>
          <t>ContactsView</t>
        </is>
      </c>
      <c r="D254" s="5" t="inlineStr">
        <is>
          <t>Modal</t>
        </is>
      </c>
      <c r="E254" s="5" t="inlineStr"/>
      <c r="F254" s="5" t="inlineStr"/>
    </row>
    <row r="255" ht="22" customHeight="1">
      <c r="A255" s="5" t="inlineStr">
        <is>
          <t>Contact Profile Link</t>
        </is>
      </c>
      <c r="B255" s="5" t="inlineStr">
        <is>
          <t>Click name → navigate to ContactProfileView</t>
        </is>
      </c>
      <c r="C255" s="5" t="inlineStr">
        <is>
          <t>ContactsView</t>
        </is>
      </c>
      <c r="D255" s="5" t="inlineStr">
        <is>
          <t>Navigation</t>
        </is>
      </c>
      <c r="E255" s="5" t="inlineStr"/>
      <c r="F255" s="5" t="inlineStr"/>
    </row>
    <row r="257" ht="26" customHeight="1">
      <c r="A257" s="3">
        <f>== CONTACT PROFILE ===</f>
        <v/>
      </c>
      <c r="B257" s="4" t="inlineStr"/>
      <c r="C257" s="4" t="inlineStr"/>
      <c r="D257" s="4" t="inlineStr"/>
      <c r="E257" s="4" t="inlineStr"/>
      <c r="F257" s="4" t="inlineStr"/>
    </row>
    <row r="258" ht="22" customHeight="1">
      <c r="A258" s="5" t="inlineStr">
        <is>
          <t>Contact Header</t>
        </is>
      </c>
      <c r="B258" s="5" t="inlineStr">
        <is>
          <t>Name, company, Edit/Archive buttons</t>
        </is>
      </c>
      <c r="C258" s="5" t="inlineStr">
        <is>
          <t>ContactProfileView</t>
        </is>
      </c>
      <c r="D258" s="5" t="inlineStr">
        <is>
          <t>Panel</t>
        </is>
      </c>
      <c r="E258" s="5" t="inlineStr"/>
      <c r="F258" s="5" t="inlineStr"/>
    </row>
    <row r="259" ht="22" customHeight="1">
      <c r="A259" s="5" t="inlineStr">
        <is>
          <t>Contact Details Panel</t>
        </is>
      </c>
      <c r="B259" s="5" t="inlineStr">
        <is>
          <t>Phone + email + address display</t>
        </is>
      </c>
      <c r="C259" s="5" t="inlineStr">
        <is>
          <t>ContactProfileView</t>
        </is>
      </c>
      <c r="D259" s="5" t="inlineStr">
        <is>
          <t>Panel</t>
        </is>
      </c>
      <c r="E259" s="5" t="inlineStr"/>
      <c r="F259" s="5" t="inlineStr"/>
    </row>
    <row r="260" ht="22" customHeight="1">
      <c r="A260" s="5" t="inlineStr">
        <is>
          <t>Roles Panel</t>
        </is>
      </c>
      <c r="B260" s="5" t="inlineStr">
        <is>
          <t>Roles assigned to contact (e.g. Customer/Vendor)</t>
        </is>
      </c>
      <c r="C260" s="5" t="inlineStr">
        <is>
          <t>ContactProfileView</t>
        </is>
      </c>
      <c r="D260" s="5" t="inlineStr">
        <is>
          <t>Panel</t>
        </is>
      </c>
      <c r="E260" s="5" t="inlineStr"/>
      <c r="F260" s="5" t="inlineStr"/>
    </row>
    <row r="261" ht="22" customHeight="1">
      <c r="A261" s="5" t="inlineStr">
        <is>
          <t>Customer Financials Panel</t>
        </is>
      </c>
      <c r="B261" s="5" t="inlineStr">
        <is>
          <t>If customer: balance, credit limit, stance</t>
        </is>
      </c>
      <c r="C261" s="5" t="inlineStr">
        <is>
          <t>ContactProfileView</t>
        </is>
      </c>
      <c r="D261" s="5" t="inlineStr">
        <is>
          <t>Panel</t>
        </is>
      </c>
      <c r="E261" s="5" t="inlineStr"/>
      <c r="F261" s="5" t="inlineStr"/>
    </row>
    <row r="262" ht="22" customHeight="1">
      <c r="A262" s="6" t="inlineStr">
        <is>
          <t>Customer Orders Sub-Grid (TER-1564)</t>
        </is>
      </c>
      <c r="B262" s="6" t="inlineStr">
        <is>
          <t>Order history sub-grid in ContactCustomerPanel showing all orders for the contact</t>
        </is>
      </c>
      <c r="C262" s="6" t="inlineStr">
        <is>
          <t>contacts-customer-orders</t>
        </is>
      </c>
      <c r="D262" s="6" t="inlineStr">
        <is>
          <t>Grid (Sub-Grid)</t>
        </is>
      </c>
      <c r="E262" s="6" t="inlineStr"/>
      <c r="F262" s="6" t="inlineStr">
        <is>
          <t>NEW — 2026-06: TER-1564 — contact profile now has embedded order history</t>
        </is>
      </c>
    </row>
    <row r="263" ht="22" customHeight="1">
      <c r="A263" s="5" t="inlineStr">
        <is>
          <t>Vendor Financials Panel</t>
        </is>
      </c>
      <c r="B263" s="5" t="inlineStr">
        <is>
          <t>If vendor: open payables display</t>
        </is>
      </c>
      <c r="C263" s="5" t="inlineStr">
        <is>
          <t>ContactProfileView</t>
        </is>
      </c>
      <c r="D263" s="5" t="inlineStr">
        <is>
          <t>Panel</t>
        </is>
      </c>
      <c r="E263" s="5" t="inlineStr"/>
      <c r="F263" s="5" t="inlineStr"/>
    </row>
    <row r="264" ht="22" customHeight="1">
      <c r="A264" s="5" t="inlineStr">
        <is>
          <t>Appointments Panel</t>
        </is>
      </c>
      <c r="B264" s="5" t="inlineStr">
        <is>
          <t>Upcoming/past appointments + Cancel/Complete actions</t>
        </is>
      </c>
      <c r="C264" s="5" t="inlineStr">
        <is>
          <t>ContactProfileView</t>
        </is>
      </c>
      <c r="D264" s="5" t="inlineStr">
        <is>
          <t>Panel</t>
        </is>
      </c>
      <c r="E264" s="5" t="inlineStr"/>
      <c r="F264" s="5" t="inlineStr"/>
    </row>
    <row r="265" ht="22" customHeight="1">
      <c r="A265" s="5" t="inlineStr">
        <is>
          <t>Command History Panel</t>
        </is>
      </c>
      <c r="B265" s="5" t="inlineStr">
        <is>
          <t>Log of system commands related to contact</t>
        </is>
      </c>
      <c r="C265" s="5" t="inlineStr">
        <is>
          <t>ContactProfileView</t>
        </is>
      </c>
      <c r="D265" s="5" t="inlineStr">
        <is>
          <t>Panel</t>
        </is>
      </c>
      <c r="E265" s="5" t="inlineStr"/>
      <c r="F265" s="5" t="inlineStr"/>
    </row>
    <row r="266" ht="22" customHeight="1">
      <c r="A266" s="5" t="inlineStr">
        <is>
          <t>Contact Settings Panel</t>
        </is>
      </c>
      <c r="B266" s="5" t="inlineStr">
        <is>
          <t>Tools: add roles, link contact to system user account</t>
        </is>
      </c>
      <c r="C266" s="5" t="inlineStr">
        <is>
          <t>ContactProfileView</t>
        </is>
      </c>
      <c r="D266" s="5" t="inlineStr">
        <is>
          <t>Panel</t>
        </is>
      </c>
      <c r="E266" s="5" t="inlineStr"/>
      <c r="F266" s="5" t="inlineStr"/>
    </row>
    <row r="268" ht="26" customHeight="1">
      <c r="A268" s="3">
        <f>== MERGE CANDIDATES (Deferred — route redirects to /contacts) ===</f>
        <v/>
      </c>
      <c r="B268" s="4" t="inlineStr"/>
      <c r="C268" s="4" t="inlineStr"/>
      <c r="D268" s="4" t="inlineStr"/>
      <c r="E268" s="4" t="inlineStr"/>
      <c r="F268" s="4" t="inlineStr"/>
    </row>
    <row r="269" ht="22" customHeight="1">
      <c r="A269" s="5" t="inlineStr">
        <is>
          <t>Merge Candidates Grid</t>
        </is>
      </c>
      <c r="B269" s="5" t="inlineStr">
        <is>
          <t>Potential duplicate entity records (deferred — BE-014/TER-1591)</t>
        </is>
      </c>
      <c r="C269" s="5" t="inlineStr">
        <is>
          <t>MergeCandidatesView</t>
        </is>
      </c>
      <c r="D269" s="5" t="inlineStr">
        <is>
          <t>Grid</t>
        </is>
      </c>
      <c r="E269" s="5" t="inlineStr">
        <is>
          <t>Currently redirected</t>
        </is>
      </c>
      <c r="F269" s="5" t="inlineStr">
        <is>
          <t>Deferred feature — route redirects to /contacts</t>
        </is>
      </c>
    </row>
    <row r="270" ht="22" customHeight="1">
      <c r="A270" s="5" t="inlineStr">
        <is>
          <t>Candidate Comparison Panel</t>
        </is>
      </c>
      <c r="B270" s="5" t="inlineStr">
        <is>
          <t>Side-by-side view of merge candidate fields</t>
        </is>
      </c>
      <c r="C270" s="5" t="inlineStr">
        <is>
          <t>MergeCandidatesView</t>
        </is>
      </c>
      <c r="D270" s="5" t="inlineStr">
        <is>
          <t>Panel</t>
        </is>
      </c>
      <c r="E270" s="5" t="inlineStr">
        <is>
          <t>Currently redirected</t>
        </is>
      </c>
      <c r="F270" s="5" t="inlineStr">
        <is>
          <t>Deferred feature</t>
        </is>
      </c>
    </row>
    <row r="271" ht="22" customHeight="1">
      <c r="A271" s="5" t="inlineStr">
        <is>
          <t>Merge/Dismiss Actions</t>
        </is>
      </c>
      <c r="B271" s="5" t="inlineStr">
        <is>
          <t>Buttons: Approve merge, Dismiss candidate</t>
        </is>
      </c>
      <c r="C271" s="5" t="inlineStr">
        <is>
          <t>MergeCandidatesView</t>
        </is>
      </c>
      <c r="D271" s="5" t="inlineStr">
        <is>
          <t>Workflow</t>
        </is>
      </c>
      <c r="E271" s="5" t="inlineStr">
        <is>
          <t>Currently redirected</t>
        </is>
      </c>
      <c r="F271" s="5" t="inlineStr">
        <is>
          <t>Deferred feature</t>
        </is>
      </c>
    </row>
    <row r="273" ht="26" customHeight="1">
      <c r="A273" s="3">
        <f>== ITEMS / SKUs ===</f>
        <v/>
      </c>
      <c r="B273" s="4" t="inlineStr"/>
      <c r="C273" s="4" t="inlineStr"/>
      <c r="D273" s="4" t="inlineStr"/>
      <c r="E273" s="4" t="inlineStr"/>
      <c r="F273" s="4" t="inlineStr"/>
    </row>
    <row r="274" ht="22" customHeight="1">
      <c r="A274" s="5" t="inlineStr">
        <is>
          <t>Items (Products) Grid</t>
        </is>
      </c>
      <c r="B274" s="5" t="inlineStr">
        <is>
          <t>AG Grid of all product/item definitions</t>
        </is>
      </c>
      <c r="C274" s="5" t="inlineStr">
        <is>
          <t>ItemsView</t>
        </is>
      </c>
      <c r="D274" s="5" t="inlineStr">
        <is>
          <t>Grid</t>
        </is>
      </c>
      <c r="E274" s="5" t="inlineStr"/>
      <c r="F274" s="5" t="inlineStr"/>
    </row>
    <row r="275" ht="22" customHeight="1">
      <c r="A275" s="5" t="inlineStr">
        <is>
          <t>New Item Modal</t>
        </is>
      </c>
      <c r="B275" s="5" t="inlineStr">
        <is>
          <t>Modal form for creating new item</t>
        </is>
      </c>
      <c r="C275" s="5" t="inlineStr">
        <is>
          <t>ItemsView</t>
        </is>
      </c>
      <c r="D275" s="5" t="inlineStr">
        <is>
          <t>Modal</t>
        </is>
      </c>
      <c r="E275" s="5" t="inlineStr"/>
      <c r="F275" s="5" t="inlineStr"/>
    </row>
    <row r="276" ht="22" customHeight="1">
      <c r="A276" s="5" t="inlineStr">
        <is>
          <t>Edit Item Drawer</t>
        </is>
      </c>
      <c r="B276" s="5" t="inlineStr">
        <is>
          <t>Drawer for editing selected item details</t>
        </is>
      </c>
      <c r="C276" s="5" t="inlineStr">
        <is>
          <t>ItemsView</t>
        </is>
      </c>
      <c r="D276" s="5" t="inlineStr">
        <is>
          <t>Drawer</t>
        </is>
      </c>
      <c r="E276" s="5" t="inlineStr"/>
      <c r="F276" s="5" t="inlineStr"/>
    </row>
    <row r="277" ht="22" customHeight="1">
      <c r="A277" s="5" t="inlineStr">
        <is>
          <t>Status Toggle Action</t>
        </is>
      </c>
      <c r="B277" s="5" t="inlineStr">
        <is>
          <t>Inline action to toggle item active/inactive</t>
        </is>
      </c>
      <c r="C277" s="5" t="inlineStr">
        <is>
          <t>ItemsView</t>
        </is>
      </c>
      <c r="D277" s="5" t="inlineStr">
        <is>
          <t>Inline Action</t>
        </is>
      </c>
      <c r="E277" s="5" t="inlineStr"/>
      <c r="F277" s="5" t="inlineStr"/>
    </row>
    <row r="279" ht="26" customHeight="1">
      <c r="A279" s="3">
        <f>== INVOICE DISPUTES ===</f>
        <v/>
      </c>
      <c r="B279" s="4" t="inlineStr"/>
      <c r="C279" s="4" t="inlineStr"/>
      <c r="D279" s="4" t="inlineStr"/>
      <c r="E279" s="4" t="inlineStr"/>
      <c r="F279" s="4" t="inlineStr"/>
    </row>
    <row r="280" ht="22" customHeight="1">
      <c r="A280" s="5" t="inlineStr">
        <is>
          <t>Invoice Disputes Grid</t>
        </is>
      </c>
      <c r="B280" s="5" t="inlineStr">
        <is>
          <t>AG Grid of all active invoice disputes</t>
        </is>
      </c>
      <c r="C280" s="5" t="inlineStr">
        <is>
          <t>InvoiceDisputesView</t>
        </is>
      </c>
      <c r="D280" s="5" t="inlineStr">
        <is>
          <t>Grid</t>
        </is>
      </c>
      <c r="E280" s="5" t="inlineStr"/>
      <c r="F280" s="5" t="inlineStr"/>
    </row>
    <row r="281" ht="22" customHeight="1">
      <c r="A281" s="5" t="inlineStr">
        <is>
          <t>Dispute Resolution Panel</t>
        </is>
      </c>
      <c r="B281" s="5" t="inlineStr">
        <is>
          <t>Panel on dispute selection: Resolve or Reject with reason</t>
        </is>
      </c>
      <c r="C281" s="5" t="inlineStr">
        <is>
          <t>InvoiceDisputesView</t>
        </is>
      </c>
      <c r="D281" s="5" t="inlineStr">
        <is>
          <t>Panel</t>
        </is>
      </c>
      <c r="E281" s="5" t="inlineStr"/>
      <c r="F281" s="5" t="inlineStr"/>
    </row>
    <row r="283" ht="26" customHeight="1">
      <c r="A283" s="3">
        <f>== CREDIT REVIEW ===</f>
        <v/>
      </c>
      <c r="B283" s="4" t="inlineStr"/>
      <c r="C283" s="4" t="inlineStr"/>
      <c r="D283" s="4" t="inlineStr"/>
      <c r="E283" s="4" t="inlineStr"/>
      <c r="F283" s="4" t="inlineStr"/>
    </row>
    <row r="284" ht="22" customHeight="1">
      <c r="A284" s="5" t="inlineStr">
        <is>
          <t>Credit Review Grid</t>
        </is>
      </c>
      <c r="B284" s="5" t="inlineStr">
        <is>
          <t>AG Grid of customers flagged for credit review (over limit etc.)</t>
        </is>
      </c>
      <c r="C284" s="5" t="inlineStr">
        <is>
          <t>CreditReviewView</t>
        </is>
      </c>
      <c r="D284" s="5" t="inlineStr">
        <is>
          <t>Grid</t>
        </is>
      </c>
      <c r="E284" s="5" t="inlineStr"/>
      <c r="F284" s="5" t="inlineStr"/>
    </row>
    <row r="285" ht="22" customHeight="1">
      <c r="A285" s="5" t="inlineStr">
        <is>
          <t>Credit Action Panel</t>
        </is>
      </c>
      <c r="B285" s="5" t="inlineStr">
        <is>
          <t>Per-customer: set manual limit, snooze reminder, revert to engine limits</t>
        </is>
      </c>
      <c r="C285" s="5" t="inlineStr">
        <is>
          <t>CreditReviewView</t>
        </is>
      </c>
      <c r="D285" s="5" t="inlineStr">
        <is>
          <t>Panel</t>
        </is>
      </c>
      <c r="E285" s="5" t="inlineStr"/>
      <c r="F285" s="5" t="inlineStr"/>
    </row>
    <row r="287" ht="26" customHeight="1">
      <c r="A287" s="3">
        <f>== REFEREES ===</f>
        <v/>
      </c>
      <c r="B287" s="4" t="inlineStr"/>
      <c r="C287" s="4" t="inlineStr"/>
      <c r="D287" s="4" t="inlineStr"/>
      <c r="E287" s="4" t="inlineStr"/>
      <c r="F287" s="4" t="inlineStr"/>
    </row>
    <row r="288" ht="22" customHeight="1">
      <c r="A288" s="5" t="inlineStr">
        <is>
          <t>Referees Grid</t>
        </is>
      </c>
      <c r="B288" s="5" t="inlineStr">
        <is>
          <t>AG Grid of all referees</t>
        </is>
      </c>
      <c r="C288" s="5" t="inlineStr">
        <is>
          <t>RefereesView</t>
        </is>
      </c>
      <c r="D288" s="5" t="inlineStr">
        <is>
          <t>Grid</t>
        </is>
      </c>
      <c r="E288" s="5" t="inlineStr"/>
      <c r="F288" s="5" t="inlineStr"/>
    </row>
    <row r="289" ht="22" customHeight="1">
      <c r="A289" s="5" t="inlineStr">
        <is>
          <t>Referee Relationships Grid</t>
        </is>
      </c>
      <c r="B289" s="5" t="inlineStr">
        <is>
          <t>Secondary grid: vendor relationships for selected referee</t>
        </is>
      </c>
      <c r="C289" s="5" t="inlineStr">
        <is>
          <t>RefereesView</t>
        </is>
      </c>
      <c r="D289" s="5" t="inlineStr">
        <is>
          <t>Grid (Master-Detail)</t>
        </is>
      </c>
      <c r="E289" s="5" t="inlineStr"/>
      <c r="F289" s="5" t="inlineStr"/>
    </row>
    <row r="290" ht="22" customHeight="1">
      <c r="A290" s="5" t="inlineStr">
        <is>
          <t>Referee Credit Ledger Grid</t>
        </is>
      </c>
      <c r="B290" s="5" t="inlineStr">
        <is>
          <t>Tertiary grid: credit transaction history for selected referee</t>
        </is>
      </c>
      <c r="C290" s="5" t="inlineStr">
        <is>
          <t>RefereesView</t>
        </is>
      </c>
      <c r="D290" s="5" t="inlineStr">
        <is>
          <t>Grid (Master-Detail)</t>
        </is>
      </c>
      <c r="E290" s="5" t="inlineStr"/>
      <c r="F290" s="5" t="inlineStr"/>
    </row>
    <row r="291" ht="22" customHeight="1">
      <c r="A291" s="5" t="inlineStr">
        <is>
          <t>New Referee Modal</t>
        </is>
      </c>
      <c r="B291" s="5" t="inlineStr">
        <is>
          <t>Modal for creating new referee</t>
        </is>
      </c>
      <c r="C291" s="5" t="inlineStr">
        <is>
          <t>RefereesView</t>
        </is>
      </c>
      <c r="D291" s="5" t="inlineStr">
        <is>
          <t>Modal</t>
        </is>
      </c>
      <c r="E291" s="5" t="inlineStr"/>
      <c r="F291" s="5" t="inlineStr"/>
    </row>
    <row r="292" ht="22" customHeight="1">
      <c r="A292" s="5" t="inlineStr">
        <is>
          <t>New Relationship Modal</t>
        </is>
      </c>
      <c r="B292" s="5" t="inlineStr">
        <is>
          <t>Modal for creating new referee-vendor relationship</t>
        </is>
      </c>
      <c r="C292" s="5" t="inlineStr">
        <is>
          <t>RefereesView</t>
        </is>
      </c>
      <c r="D292" s="5" t="inlineStr">
        <is>
          <t>Modal</t>
        </is>
      </c>
      <c r="E292" s="5" t="inlineStr"/>
      <c r="F292" s="5" t="inlineStr"/>
    </row>
    <row r="293" ht="22" customHeight="1">
      <c r="A293" s="5" t="inlineStr">
        <is>
          <t>Void Credit Action</t>
        </is>
      </c>
      <c r="B293" s="5" t="inlineStr">
        <is>
          <t>Inline action in ledger to void accrued credit</t>
        </is>
      </c>
      <c r="C293" s="5" t="inlineStr">
        <is>
          <t>RefereesView</t>
        </is>
      </c>
      <c r="D293" s="5" t="inlineStr">
        <is>
          <t>Inline Action</t>
        </is>
      </c>
      <c r="E293" s="5" t="inlineStr"/>
      <c r="F293" s="5" t="inlineStr"/>
    </row>
    <row r="295" ht="26" customHeight="1">
      <c r="A295" s="3">
        <f>== PROCESSORS (Flagged off — redirects to Settings → Requests) ===</f>
        <v/>
      </c>
      <c r="B295" s="4" t="inlineStr"/>
      <c r="C295" s="4" t="inlineStr"/>
      <c r="D295" s="4" t="inlineStr"/>
      <c r="E295" s="4" t="inlineStr"/>
      <c r="F295" s="4" t="inlineStr"/>
    </row>
    <row r="296" ht="22" customHeight="1">
      <c r="A296" s="5" t="inlineStr">
        <is>
          <t>Payment Processors Grid</t>
        </is>
      </c>
      <c r="B296" s="5" t="inlineStr">
        <is>
          <t>AG Grid of payment processors</t>
        </is>
      </c>
      <c r="C296" s="5" t="inlineStr">
        <is>
          <t>ProcessorsView</t>
        </is>
      </c>
      <c r="D296" s="5" t="inlineStr">
        <is>
          <t>Grid</t>
        </is>
      </c>
      <c r="E296" s="5" t="inlineStr">
        <is>
          <t>Currently redirected</t>
        </is>
      </c>
      <c r="F296" s="5" t="inlineStr">
        <is>
          <t>TER-1664: MVP-out — flagged off</t>
        </is>
      </c>
    </row>
    <row r="297" ht="22" customHeight="1">
      <c r="A297" s="5" t="inlineStr">
        <is>
          <t>New/Edit Processor Drawer</t>
        </is>
      </c>
      <c r="B297" s="5" t="inlineStr">
        <is>
          <t>Drawer for creating/editing processor</t>
        </is>
      </c>
      <c r="C297" s="5" t="inlineStr">
        <is>
          <t>ProcessorsView</t>
        </is>
      </c>
      <c r="D297" s="5" t="inlineStr">
        <is>
          <t>Drawer</t>
        </is>
      </c>
      <c r="E297" s="5" t="inlineStr">
        <is>
          <t>Currently redirected</t>
        </is>
      </c>
      <c r="F297" s="5" t="inlineStr">
        <is>
          <t>TER-1664: MVP-out</t>
        </is>
      </c>
    </row>
    <row r="299" ht="26" customHeight="1">
      <c r="A299" s="3">
        <f>== CONNECTORS (Flagged off — redirects to Settings → Requests) ===</f>
        <v/>
      </c>
      <c r="B299" s="4" t="inlineStr"/>
      <c r="C299" s="4" t="inlineStr"/>
      <c r="D299" s="4" t="inlineStr"/>
      <c r="E299" s="4" t="inlineStr"/>
      <c r="F299" s="4" t="inlineStr"/>
    </row>
    <row r="300" ht="22" customHeight="1">
      <c r="A300" s="5" t="inlineStr">
        <is>
          <t>Connector Requests Grid</t>
        </is>
      </c>
      <c r="B300" s="5" t="inlineStr">
        <is>
          <t>AG Grid of inbound connector requests</t>
        </is>
      </c>
      <c r="C300" s="5" t="inlineStr">
        <is>
          <t>ConnectorsView</t>
        </is>
      </c>
      <c r="D300" s="5" t="inlineStr">
        <is>
          <t>Grid</t>
        </is>
      </c>
      <c r="E300" s="5" t="inlineStr">
        <is>
          <t>N/A (see Settings)</t>
        </is>
      </c>
      <c r="F300" s="5" t="inlineStr">
        <is>
          <t>TER-1664: MVP-out — accessible via Settings → Requests</t>
        </is>
      </c>
    </row>
    <row r="301" ht="22" customHeight="1">
      <c r="A301" s="5" t="inlineStr">
        <is>
          <t>Request Actions</t>
        </is>
      </c>
      <c r="B301" s="5" t="inlineStr">
        <is>
          <t>Inline actions: Approve, Reject</t>
        </is>
      </c>
      <c r="C301" s="5" t="inlineStr">
        <is>
          <t>ConnectorsView</t>
        </is>
      </c>
      <c r="D301" s="5" t="inlineStr">
        <is>
          <t>Inline Action</t>
        </is>
      </c>
      <c r="E301" s="5" t="inlineStr">
        <is>
          <t>N/A (see Settings)</t>
        </is>
      </c>
      <c r="F301" s="5" t="inlineStr">
        <is>
          <t>TER-1664</t>
        </is>
      </c>
    </row>
    <row r="303" ht="26" customHeight="1">
      <c r="A303" s="3">
        <f>== MOBILE VIEWS ===</f>
        <v/>
      </c>
      <c r="B303" s="4" t="inlineStr"/>
      <c r="C303" s="4" t="inlineStr"/>
      <c r="D303" s="4" t="inlineStr"/>
      <c r="E303" s="4" t="inlineStr"/>
      <c r="F303" s="4" t="inlineStr"/>
    </row>
    <row r="304" ht="22" customHeight="1">
      <c r="A304" s="5" t="inlineStr">
        <is>
          <t>Mobile Dashboard</t>
        </is>
      </c>
      <c r="B304" s="5" t="inlineStr">
        <is>
          <t>Greeting card, KPI grid, work queues, my drafts, recent activity, health strip</t>
        </is>
      </c>
      <c r="C304" s="5" t="inlineStr">
        <is>
          <t>MobileDashboardView</t>
        </is>
      </c>
      <c r="D304" s="5" t="inlineStr">
        <is>
          <t>Page (Mobile)</t>
        </is>
      </c>
      <c r="E304" s="5" t="inlineStr">
        <is>
          <t>N/A (mobile)</t>
        </is>
      </c>
      <c r="F304" s="5" t="inlineStr">
        <is>
          <t>2026-06-25: now routed at /mobile/dashboard</t>
        </is>
      </c>
    </row>
    <row r="305" ht="22" customHeight="1">
      <c r="A305" s="5" t="inlineStr">
        <is>
          <t>Mobile Inventory</t>
        </is>
      </c>
      <c r="B305" s="5" t="inlineStr">
        <is>
          <t>Search bar, filter chips, batch list with expandable details, adjust qty + flag actions</t>
        </is>
      </c>
      <c r="C305" s="5" t="inlineStr">
        <is>
          <t>MobileInventoryView</t>
        </is>
      </c>
      <c r="D305" s="5" t="inlineStr">
        <is>
          <t>Page (Mobile)</t>
        </is>
      </c>
      <c r="E305" s="5" t="inlineStr">
        <is>
          <t>N/A (mobile)</t>
        </is>
      </c>
      <c r="F305" s="5" t="inlineStr">
        <is>
          <t>2026-06-25: now routed at /mobile/inventory</t>
        </is>
      </c>
    </row>
    <row r="306" ht="22" customHeight="1">
      <c r="A306" s="5" t="inlineStr">
        <is>
          <t>Mobile Catalog</t>
        </is>
      </c>
      <c r="B306" s="5" t="inlineStr">
        <is>
          <t>2-column photo grid, search/filter, detail bottom sheet, add photo, copy offer, view in inventory</t>
        </is>
      </c>
      <c r="C306" s="5" t="inlineStr">
        <is>
          <t>MobileCatalogView</t>
        </is>
      </c>
      <c r="D306" s="5" t="inlineStr">
        <is>
          <t>Page (Mobile)</t>
        </is>
      </c>
      <c r="E306" s="5" t="inlineStr">
        <is>
          <t>N/A (mobile)</t>
        </is>
      </c>
      <c r="F306" s="5" t="inlineStr">
        <is>
          <t>2026-06-25: now routed at /mobile/catalog</t>
        </is>
      </c>
    </row>
    <row r="307" ht="22" customHeight="1">
      <c r="A307" s="5" t="inlineStr">
        <is>
          <t>Mobile Payments</t>
        </is>
      </c>
      <c r="B307" s="5" t="inlineStr">
        <is>
          <t>Receive/Pay tabs, open invoices/bills list, expandable payment form, confirmation sheet</t>
        </is>
      </c>
      <c r="C307" s="5" t="inlineStr">
        <is>
          <t>MobilePaymentsView</t>
        </is>
      </c>
      <c r="D307" s="5" t="inlineStr">
        <is>
          <t>Page (Mobile)</t>
        </is>
      </c>
      <c r="E307" s="5" t="inlineStr">
        <is>
          <t>N/A (mobile)</t>
        </is>
      </c>
      <c r="F307" s="5" t="inlineStr">
        <is>
          <t>2026-06-25: now routed at /mobile/payments</t>
        </is>
      </c>
    </row>
    <row r="308" ht="22" customHeight="1">
      <c r="A308" s="5" t="inlineStr">
        <is>
          <t>Mobile Contacts</t>
        </is>
      </c>
      <c r="B308" s="5" t="inlineStr">
        <is>
          <t>Search + role filter, contact cards list, profile navigation</t>
        </is>
      </c>
      <c r="C308" s="5" t="inlineStr">
        <is>
          <t>MobileContactsView</t>
        </is>
      </c>
      <c r="D308" s="5" t="inlineStr">
        <is>
          <t>Page (Mobile)</t>
        </is>
      </c>
      <c r="E308" s="5" t="inlineStr">
        <is>
          <t>N/A (mobile)</t>
        </is>
      </c>
      <c r="F308" s="5" t="inlineStr">
        <is>
          <t>2026-06-25: now routed at /mobile/contacts</t>
        </is>
      </c>
    </row>
    <row r="309" ht="22" customHeight="1">
      <c r="A309" s="5" t="inlineStr">
        <is>
          <t>Mobile Contact Profile</t>
        </is>
      </c>
      <c r="B309" s="5" t="inlineStr">
        <is>
          <t>Header card, detail panels (contact info/financials/history), back navigation</t>
        </is>
      </c>
      <c r="C309" s="5" t="inlineStr">
        <is>
          <t>MobileContactProfileView</t>
        </is>
      </c>
      <c r="D309" s="5" t="inlineStr">
        <is>
          <t>Page (Mobile)</t>
        </is>
      </c>
      <c r="E309" s="5" t="inlineStr">
        <is>
          <t>N/A (mobile)</t>
        </is>
      </c>
      <c r="F309" s="5" t="inlineStr">
        <is>
          <t>2026-06-25: now routed at /mobile/contacts/:id</t>
        </is>
      </c>
    </row>
    <row r="310" ht="22" customHeight="1">
      <c r="A310" s="5" t="inlineStr">
        <is>
          <t>Mobile Intake</t>
        </is>
      </c>
      <c r="B310" s="5" t="inlineStr">
        <is>
          <t>Pending batches list, verify + flag actions with confirmation/reason panels</t>
        </is>
      </c>
      <c r="C310" s="5" t="inlineStr">
        <is>
          <t>MobileIntakeView</t>
        </is>
      </c>
      <c r="D310" s="5" t="inlineStr">
        <is>
          <t>Page (Mobile)</t>
        </is>
      </c>
      <c r="E310" s="5" t="inlineStr">
        <is>
          <t>N/A (mobile)</t>
        </is>
      </c>
      <c r="F310" s="5" t="inlineStr">
        <is>
          <t>2026-06-25: now routed at /mobile/intake</t>
        </is>
      </c>
    </row>
    <row r="312" ht="26" customHeight="1">
      <c r="A312" s="3">
        <f>== REPORTS (Navigation shell exists — no report views implemented) ===</f>
        <v/>
      </c>
      <c r="B312" s="4" t="inlineStr"/>
      <c r="C312" s="4" t="inlineStr"/>
      <c r="D312" s="4" t="inlineStr"/>
      <c r="E312" s="4" t="inlineStr"/>
      <c r="F312" s="4" t="inlineStr"/>
    </row>
    <row r="313" ht="22" customHeight="1">
      <c r="A313" s="5" t="inlineStr">
        <is>
          <t>Reports Route Shell</t>
        </is>
      </c>
      <c r="B313" s="5" t="inlineStr">
        <is>
          <t>Navigation + layout shell for reports section</t>
        </is>
      </c>
      <c r="C313" s="5" t="inlineStr">
        <is>
          <t>ReportsRouteShell</t>
        </is>
      </c>
      <c r="D313" s="5" t="inlineStr">
        <is>
          <t>Navigation</t>
        </is>
      </c>
      <c r="E313" s="5" t="inlineStr"/>
      <c r="F313" s="5" t="inlineStr">
        <is>
          <t>No report components found in reports/ directory. CAP-021 spec ready (7 client-side aggregations — Phase 6)</t>
        </is>
      </c>
    </row>
    <row r="315" ht="26" customHeight="1">
      <c r="A315" s="3">
        <f>== COMMAND CATALOG (Backend commands by domain) ===</f>
        <v/>
      </c>
      <c r="B315" s="4" t="inlineStr"/>
      <c r="C315" s="4" t="inlineStr"/>
      <c r="D315" s="4" t="inlineStr"/>
      <c r="E315" s="4" t="inlineStr"/>
      <c r="F315" s="4" t="inlineStr"/>
    </row>
    <row r="316" ht="22" customHeight="1">
      <c r="A316" s="5" t="inlineStr">
        <is>
          <t>Intake Commands</t>
        </is>
      </c>
      <c r="B316" s="5" t="inlineStr">
        <is>
          <t>createBatch, updateBatch, deleteBatch, postPurchaseReceipt, rejectBatch, flagBatch, verifyAllIntake, adjustBatchQuantity, setInventoryStatus, transferInventoryLocation, transferInventoryOwnership, setBatchPrice, setBatchLotInfo, attachBatchPhoto, uploadBatchMedia, setBatchMediaRole, publishBatchMedia, deleteBatchMedia, importBatchesCsv (internal), applyTags</t>
        </is>
      </c>
      <c r="C316" s="5" t="inlineStr">
        <is>
          <t>Command Catalog</t>
        </is>
      </c>
      <c r="D316" s="5" t="inlineStr">
        <is>
          <t>Backend Command</t>
        </is>
      </c>
      <c r="E316" s="5" t="inlineStr"/>
      <c r="F316" s="5" t="inlineStr">
        <is>
          <t>2026-06-19: intake handlers extracted to domains/intake/ (11 handlers</t>
        </is>
      </c>
    </row>
    <row r="317" ht="22" customHeight="1">
      <c r="A317" s="5" t="inlineStr">
        <is>
          <t>Purchase Order Commands</t>
        </is>
      </c>
      <c r="B317" s="5" t="inlineStr">
        <is>
          <t>createPurchaseOrder, updatePurchaseOrder, addPurchaseOrderLine, updatePurchaseOrderLine, removePurchaseOrderLine, finalizePurchaseOrder, unfinalizePurchaseOrder, approvePurchaseOrder, receivePurchaseOrder, cancelPurchaseOrder, recordVendorPrepayment, setLineLandedCost</t>
        </is>
      </c>
      <c r="C317" s="5" t="inlineStr">
        <is>
          <t>Command Catalog</t>
        </is>
      </c>
      <c r="D317" s="5" t="inlineStr">
        <is>
          <t>Backend Command</t>
        </is>
      </c>
      <c r="E317" s="5" t="inlineStr"/>
      <c r="F317" s="5" t="inlineStr">
        <is>
          <t>2026-06-25: PO domain migrated to defineCommand() registry pattern</t>
        </is>
      </c>
    </row>
    <row r="318" ht="22" customHeight="1">
      <c r="A318" s="5" t="inlineStr">
        <is>
          <t>Sales Commands</t>
        </is>
      </c>
      <c r="B318" s="5" t="inlineStr">
        <is>
          <t>createSalesOrder, addSalesOrderLine, updateSalesOrderLine, removeSalesOrderLine, reserveInventoryForOrder, priceSalesOrder, confirmSalesOrder, cancelSalesOrder, postSalesOrder, repriceOrder, applyClientCredit, setDeliveryWindow</t>
        </is>
      </c>
      <c r="C318" s="5" t="inlineStr">
        <is>
          <t>Command Catalog</t>
        </is>
      </c>
      <c r="D318" s="5" t="inlineStr">
        <is>
          <t>Backend Command</t>
        </is>
      </c>
      <c r="E318" s="5" t="inlineStr"/>
      <c r="F318" s="5" t="inlineStr">
        <is>
          <t>2026-06-18: sales-orders handlers extracted to domains/sales-orders/ (15 handlers)</t>
        </is>
      </c>
    </row>
    <row r="319" ht="22" customHeight="1">
      <c r="A319" s="6" t="inlineStr">
        <is>
          <t>Payment Commands</t>
        </is>
      </c>
      <c r="B319" s="6" t="inlineStr">
        <is>
          <t>logPayment, allocatePayment, unallocatePayment, refundPayment, markPaymentUnapplied, applyDiscount, postTransactionLedgerRow, upsertTransactionType</t>
        </is>
      </c>
      <c r="C319" s="6" t="inlineStr">
        <is>
          <t>Command Catalog</t>
        </is>
      </c>
      <c r="D319" s="6" t="inlineStr">
        <is>
          <t>Backend Command</t>
        </is>
      </c>
      <c r="E319" s="6" t="inlineStr"/>
      <c r="F319" s="6" t="inlineStr">
        <is>
          <t>NEW: markPaymentUnapplied (R-05, T3) — 2026-06-18. Payments handlers extracted to domains/payments/</t>
        </is>
      </c>
    </row>
    <row r="320" ht="22" customHeight="1">
      <c r="A320" s="5" t="inlineStr">
        <is>
          <t>Vendor Commands</t>
        </is>
      </c>
      <c r="B320" s="5" t="inlineStr">
        <is>
          <t>createVendorBill, approveVendorBill, scheduleVendorPayment, recordVendorPayment, voidVendorPayment, createVendor, updateVendor</t>
        </is>
      </c>
      <c r="C320" s="5" t="inlineStr">
        <is>
          <t>Command Catalog</t>
        </is>
      </c>
      <c r="D320" s="5" t="inlineStr">
        <is>
          <t>Backend Command</t>
        </is>
      </c>
      <c r="E320" s="5" t="inlineStr"/>
      <c r="F320" s="5" t="inlineStr">
        <is>
          <t>2026-06-19: vendor handlers extracted to domains/vendor/</t>
        </is>
      </c>
    </row>
    <row r="321" ht="22" customHeight="1">
      <c r="A321" s="5" t="inlineStr">
        <is>
          <t>Fulfillment Commands</t>
        </is>
      </c>
      <c r="B321" s="5" t="inlineStr">
        <is>
          <t>allocateOrderToFulfillment, createPickList, recordWeighAndPack, markOrderFulfilled, printLabels (internal), adjustFulfillmentLine, releaseLineForPicking, releaseLinesForPicking, recallLineFromPicking, acknowledgeWarehouseAlert, returnPickedUnits, cancelFulfillmentLine</t>
        </is>
      </c>
      <c r="C321" s="5" t="inlineStr">
        <is>
          <t>Command Catalog</t>
        </is>
      </c>
      <c r="D321" s="5" t="inlineStr">
        <is>
          <t>Backend Command</t>
        </is>
      </c>
      <c r="E321" s="5" t="inlineStr"/>
      <c r="F321" s="5" t="inlineStr">
        <is>
          <t>2026-06-18: pick+fulfillment handlers extracted to domains/pick/ and domains/fulfillment/</t>
        </is>
      </c>
    </row>
    <row r="322" ht="22" customHeight="1">
      <c r="A322" s="5" t="inlineStr">
        <is>
          <t>Matchmaking Commands</t>
        </is>
      </c>
      <c r="B322" s="5" t="inlineStr">
        <is>
          <t>createCustomerNeed, updateCustomerNeed, createVendorSupply, updateVendorSupply, acceptMatchmakingMatch, dismissMatchmakingMatch, reopenMatchmakingMatch, updateMatchmakingSettings, noteMatchmakingOutreach, dismissMatchmakingWorkQueueItem</t>
        </is>
      </c>
      <c r="C322" s="5" t="inlineStr">
        <is>
          <t>Command Catalog</t>
        </is>
      </c>
      <c r="D322" s="5" t="inlineStr">
        <is>
          <t>Backend Command</t>
        </is>
      </c>
      <c r="E322" s="5" t="inlineStr"/>
      <c r="F322" s="5" t="inlineStr">
        <is>
          <t>2026-06-19: matchmaking handlers extracted to domains/matchmaking/</t>
        </is>
      </c>
    </row>
    <row r="323" ht="22" customHeight="1">
      <c r="A323" s="5" t="inlineStr">
        <is>
          <t>Credit Engine Commands</t>
        </is>
      </c>
      <c r="B323" s="5" t="inlineStr">
        <is>
          <t>setCustomerCreditLimit, revertCustomerCreditToEngine, snoozeCustomerCreditReminder, setCustomerEngineMax (internal), setCustomerStance, disableCreditEngineForCustomer, enableCreditEngineForCustomer, createCreditEngineStance, updateCreditEngineStance, deleteCreditEngineStance, setCreditEngineConfig, bulkRevertCustomersToEngine</t>
        </is>
      </c>
      <c r="C323" s="5" t="inlineStr">
        <is>
          <t>Command Catalog</t>
        </is>
      </c>
      <c r="D323" s="5" t="inlineStr">
        <is>
          <t>Backend Command</t>
        </is>
      </c>
      <c r="E323" s="5" t="inlineStr"/>
      <c r="F323" s="5" t="inlineStr">
        <is>
          <t>2026-06-18: credit handlers extracted to domains/credit/ (12 handlers)</t>
        </is>
      </c>
    </row>
    <row r="324" ht="22" customHeight="1">
      <c r="A324" s="5" t="inlineStr">
        <is>
          <t>Pricing Commands</t>
        </is>
      </c>
      <c r="B324" s="5" t="inlineStr">
        <is>
          <t>setCustomerPricingRule, setDefaultPricingRule, setLineBelowFloorReason, resolveVendorApproval</t>
        </is>
      </c>
      <c r="C324" s="5" t="inlineStr">
        <is>
          <t>Command Catalog</t>
        </is>
      </c>
      <c r="D324" s="5" t="inlineStr">
        <is>
          <t>Backend Command</t>
        </is>
      </c>
      <c r="E324" s="5" t="inlineStr"/>
      <c r="F324" s="5" t="inlineStr"/>
    </row>
    <row r="325" ht="22" customHeight="1">
      <c r="A325" s="5" t="inlineStr">
        <is>
          <t>Item Commands</t>
        </is>
      </c>
      <c r="B325" s="5" t="inlineStr">
        <is>
          <t>createItem, updateItem, toggleItemStatus, setItemAlias</t>
        </is>
      </c>
      <c r="C325" s="5" t="inlineStr">
        <is>
          <t>Command Catalog</t>
        </is>
      </c>
      <c r="D325" s="5" t="inlineStr">
        <is>
          <t>Backend Command</t>
        </is>
      </c>
      <c r="E325" s="5" t="inlineStr"/>
      <c r="F325" s="5" t="inlineStr"/>
    </row>
    <row r="326" ht="22" customHeight="1">
      <c r="A326" s="5" t="inlineStr">
        <is>
          <t>Referee Commands</t>
        </is>
      </c>
      <c r="B326" s="5" t="inlineStr">
        <is>
          <t>createReferee, updateReferee, addRefereeRelationship, updateRefereeRelationship, deactivateRefereeRelationship, voidRefereeCredit</t>
        </is>
      </c>
      <c r="C326" s="5" t="inlineStr">
        <is>
          <t>Command Catalog</t>
        </is>
      </c>
      <c r="D326" s="5" t="inlineStr">
        <is>
          <t>Backend Command</t>
        </is>
      </c>
      <c r="E326" s="5" t="inlineStr"/>
      <c r="F326" s="5" t="inlineStr">
        <is>
          <t>2026-06-19: referee handlers extracted to domains/referees/</t>
        </is>
      </c>
    </row>
    <row r="327" ht="22" customHeight="1">
      <c r="A327" s="5" t="inlineStr">
        <is>
          <t>Processor/Connector Commands</t>
        </is>
      </c>
      <c r="B327" s="5" t="inlineStr">
        <is>
          <t>approveConnectorRequest (internal), rejectConnectorRequest (internal), routeConnectorRequest (internal), createPaymentProcessor (internal), markUserFeeCollected (internal), updateProcessorFeeStatus (internal), updateProcessor</t>
        </is>
      </c>
      <c r="C327" s="5" t="inlineStr">
        <is>
          <t>Command Catalog</t>
        </is>
      </c>
      <c r="D327" s="5" t="inlineStr">
        <is>
          <t>Backend Command</t>
        </is>
      </c>
      <c r="E327" s="5" t="inlineStr"/>
      <c r="F327" s="5" t="inlineStr"/>
    </row>
    <row r="328" ht="22" customHeight="1">
      <c r="A328" s="5" t="inlineStr">
        <is>
          <t>Contact Commands</t>
        </is>
      </c>
      <c r="B328" s="5" t="inlineStr">
        <is>
          <t>createContact, updateContact, archiveContact, addContactRole, linkContactToExistingEntity, linkContactToUser, createAppointment, updateAppointment, cancelAppointment, completeAppointment</t>
        </is>
      </c>
      <c r="C328" s="5" t="inlineStr">
        <is>
          <t>Command Catalog</t>
        </is>
      </c>
      <c r="D328" s="5" t="inlineStr">
        <is>
          <t>Backend Command</t>
        </is>
      </c>
      <c r="E328" s="5" t="inlineStr"/>
      <c r="F328" s="5" t="inlineStr">
        <is>
          <t>2026-06-19: contact handlers extracted to domains/contacts/ (23 handlers)</t>
        </is>
      </c>
    </row>
    <row r="329" ht="22" customHeight="1">
      <c r="A329" s="5" t="inlineStr">
        <is>
          <t>Dispute Commands</t>
        </is>
      </c>
      <c r="B329" s="5" t="inlineStr">
        <is>
          <t>resolveInvoiceDispute, rejectInvoiceDispute</t>
        </is>
      </c>
      <c r="C329" s="5" t="inlineStr">
        <is>
          <t>Command Catalog</t>
        </is>
      </c>
      <c r="D329" s="5" t="inlineStr">
        <is>
          <t>Backend Command</t>
        </is>
      </c>
      <c r="E329" s="5" t="inlineStr"/>
      <c r="F329" s="5" t="inlineStr"/>
    </row>
    <row r="330" ht="22" customHeight="1">
      <c r="A330" s="5" t="inlineStr">
        <is>
          <t>Merge Candidate Commands</t>
        </is>
      </c>
      <c r="B330" s="5" t="inlineStr">
        <is>
          <t>approveMergeCandidate, dismissMergeCandidate</t>
        </is>
      </c>
      <c r="C330" s="5" t="inlineStr">
        <is>
          <t>Command Catalog</t>
        </is>
      </c>
      <c r="D330" s="5" t="inlineStr">
        <is>
          <t>Backend Command</t>
        </is>
      </c>
      <c r="E330" s="5" t="inlineStr"/>
      <c r="F330" s="5" t="inlineStr"/>
    </row>
    <row r="331" ht="22" customHeight="1">
      <c r="A331" s="5" t="inlineStr">
        <is>
          <t>Recovery/System Commands</t>
        </is>
      </c>
      <c r="B331" s="5" t="inlineStr">
        <is>
          <t>createCorrectionJournalEntry, reverseCommandById, documentCommandFailure, restoreFromBackupPoint, postPeriodAdjustments, lockPeriod, archivePeriod, updateSystemSetting, mintPhotoUploadToken, revokePhotoUploadToken, createCustomerSheetSnapshot</t>
        </is>
      </c>
      <c r="C331" s="5" t="inlineStr">
        <is>
          <t>Command Catalog</t>
        </is>
      </c>
      <c r="D331" s="5" t="inlineStr">
        <is>
          <t>Backend Command</t>
        </is>
      </c>
      <c r="E331" s="5" t="inlineStr"/>
      <c r="F331" s="5" t="inlineStr">
        <is>
          <t>2026-06-18: dead mintPhotoUploadTokenCommand/revokePhotoUploadTokenCommand handlers removed</t>
        </is>
      </c>
    </row>
    <row r="333" ht="26" customHeight="1">
      <c r="A333" s="3">
        <f>== CROSS-CUTTING / NON-VIEW FEATURES ===</f>
        <v/>
      </c>
      <c r="B333" s="4" t="inlineStr"/>
      <c r="C333" s="4" t="inlineStr"/>
      <c r="D333" s="4" t="inlineStr"/>
      <c r="E333" s="4" t="inlineStr"/>
      <c r="F333" s="4" t="inlineStr"/>
    </row>
    <row r="334" ht="22" customHeight="1">
      <c r="A334" s="5" t="inlineStr">
        <is>
          <t>Idempotency Keys</t>
        </is>
      </c>
      <c r="B334" s="5" t="inlineStr">
        <is>
          <t>Every mutation stamps a client-generated UUID to prevent double-execution</t>
        </is>
      </c>
      <c r="C334" s="5" t="inlineStr">
        <is>
          <t>useCommandRunner</t>
        </is>
      </c>
      <c r="D334" s="5" t="inlineStr">
        <is>
          <t>System Pattern</t>
        </is>
      </c>
      <c r="E334" s="5" t="inlineStr"/>
      <c r="F334" s="5" t="inlineStr"/>
    </row>
    <row r="335" ht="22" customHeight="1">
      <c r="A335" s="5" t="inlineStr">
        <is>
          <t>Command Journaling</t>
        </is>
      </c>
      <c r="B335" s="5" t="inlineStr">
        <is>
          <t>Every command writes to DB journal + JSONL + Socket.io stream</t>
        </is>
      </c>
      <c r="C335" s="5" t="inlineStr">
        <is>
          <t>Server</t>
        </is>
      </c>
      <c r="D335" s="5" t="inlineStr">
        <is>
          <t>System Pattern</t>
        </is>
      </c>
      <c r="E335" s="5" t="inlineStr"/>
      <c r="F335" s="5" t="inlineStr">
        <is>
          <t>2026-06-19: shared journal + socket-emitter extracted to domains/shared/</t>
        </is>
      </c>
    </row>
    <row r="336" ht="22" customHeight="1">
      <c r="A336" s="5" t="inlineStr">
        <is>
          <t>RBAC (Role-Based Access)</t>
        </is>
      </c>
      <c r="B336" s="5" t="inlineStr">
        <is>
          <t>All commands validated against user role before execution</t>
        </is>
      </c>
      <c r="C336" s="5" t="inlineStr">
        <is>
          <t>Server</t>
        </is>
      </c>
      <c r="D336" s="5" t="inlineStr">
        <is>
          <t>System Pattern</t>
        </is>
      </c>
      <c r="E336" s="5" t="inlineStr"/>
      <c r="F336" s="5" t="inlineStr"/>
    </row>
    <row r="337" ht="22" customHeight="1">
      <c r="A337" s="5" t="inlineStr">
        <is>
          <t>Socket.io Realtime Invalidation</t>
        </is>
      </c>
      <c r="B337" s="5" t="inlineStr">
        <is>
          <t>Clients receive events to invalidate queries after commands execute</t>
        </is>
      </c>
      <c r="C337" s="5" t="inlineStr">
        <is>
          <t>Server</t>
        </is>
      </c>
      <c r="D337" s="5" t="inlineStr">
        <is>
          <t>System Pattern</t>
        </is>
      </c>
      <c r="E337" s="5" t="inlineStr"/>
      <c r="F337" s="5" t="inlineStr"/>
    </row>
    <row r="338" ht="22" customHeight="1">
      <c r="A338" s="5" t="inlineStr">
        <is>
          <t>Session Management</t>
        </is>
      </c>
      <c r="B338" s="5" t="inlineStr">
        <is>
          <t>express-session + connect-pg-simple (httpOnly cookies)</t>
        </is>
      </c>
      <c r="C338" s="5" t="inlineStr">
        <is>
          <t>Server</t>
        </is>
      </c>
      <c r="D338" s="5" t="inlineStr">
        <is>
          <t>System Pattern</t>
        </is>
      </c>
      <c r="E338" s="5" t="inlineStr"/>
      <c r="F338" s="5" t="inlineStr"/>
    </row>
    <row r="339" ht="22" customHeight="1">
      <c r="A339" s="5" t="inlineStr">
        <is>
          <t>CSV Export (AG Grid)</t>
        </is>
      </c>
      <c r="B339" s="5" t="inlineStr">
        <is>
          <t>AG Grid Enterprise CSV export from every grid column menu</t>
        </is>
      </c>
      <c r="C339" s="5" t="inlineStr">
        <is>
          <t>OperatorGrid</t>
        </is>
      </c>
      <c r="D339" s="5" t="inlineStr">
        <is>
          <t>Export</t>
        </is>
      </c>
      <c r="E339" s="5" t="inlineStr"/>
      <c r="F339" s="5" t="inlineStr"/>
    </row>
    <row r="340" ht="22" customHeight="1">
      <c r="A340" s="5" t="inlineStr">
        <is>
          <t>Column Customization (AG Grid)</t>
        </is>
      </c>
      <c r="B340" s="5" t="inlineStr">
        <is>
          <t>Sidebar: show/hide columns + filter builder on every grid</t>
        </is>
      </c>
      <c r="C340" s="5" t="inlineStr">
        <is>
          <t>OperatorGrid</t>
        </is>
      </c>
      <c r="D340" s="5" t="inlineStr">
        <is>
          <t>Setting</t>
        </is>
      </c>
      <c r="E340" s="5" t="inlineStr"/>
      <c r="F340" s="5" t="inlineStr"/>
    </row>
    <row r="341" ht="22" customHeight="1">
      <c r="A341" s="5" t="inlineStr">
        <is>
          <t>Range Selection + Undo/Redo (AG Grid)</t>
        </is>
      </c>
      <c r="B341" s="5" t="inlineStr">
        <is>
          <t>AG Grid Enterprise cell range selection + undo/redo editing</t>
        </is>
      </c>
      <c r="C341" s="5" t="inlineStr">
        <is>
          <t>OperatorGrid</t>
        </is>
      </c>
      <c r="D341" s="5" t="inlineStr">
        <is>
          <t>Inline Action</t>
        </is>
      </c>
      <c r="E341" s="5" t="inlineStr"/>
      <c r="F341" s="5" t="inlineStr"/>
    </row>
    <row r="342" ht="22" customHeight="1">
      <c r="A342" s="5" t="inlineStr">
        <is>
          <t>Multi-Row Selection</t>
        </is>
      </c>
      <c r="B342" s="5" t="inlineStr">
        <is>
          <t>Every grid supports multi-row selection with Ctrl/Cmd+click</t>
        </is>
      </c>
      <c r="C342" s="5" t="inlineStr">
        <is>
          <t>OperatorGrid</t>
        </is>
      </c>
      <c r="D342" s="5" t="inlineStr">
        <is>
          <t>Grid</t>
        </is>
      </c>
      <c r="E342" s="5" t="inlineStr"/>
      <c r="F342" s="5" t="inlineStr"/>
    </row>
    <row r="343" ht="22" customHeight="1">
      <c r="A343" s="5" t="inlineStr">
        <is>
          <t>Saved Filters Manager</t>
        </is>
      </c>
      <c r="B343" s="5" t="inlineStr">
        <is>
          <t>Save/load named grid filter configurations</t>
        </is>
      </c>
      <c r="C343" s="5" t="inlineStr">
        <is>
          <t>SavedFiltersManager</t>
        </is>
      </c>
      <c r="D343" s="5" t="inlineStr">
        <is>
          <t>Setting</t>
        </is>
      </c>
      <c r="E343" s="5" t="inlineStr"/>
      <c r="F343" s="5" t="inlineStr">
        <is>
          <t>CAP-031 — TER-1561: merged</t>
        </is>
      </c>
    </row>
    <row r="344" ht="22" customHeight="1">
      <c r="A344" s="5" t="inlineStr">
        <is>
          <t>Pricing Panel</t>
        </is>
      </c>
      <c r="B344" s="5" t="inlineStr">
        <is>
          <t>Shared component for managing pricing rules across views</t>
        </is>
      </c>
      <c r="C344" s="5" t="inlineStr">
        <is>
          <t>PricingPanel</t>
        </is>
      </c>
      <c r="D344" s="5" t="inlineStr">
        <is>
          <t>Shared Component</t>
        </is>
      </c>
      <c r="E344" s="5" t="inlineStr"/>
      <c r="F344" s="5" t="inlineStr"/>
    </row>
    <row r="345" ht="22" customHeight="1">
      <c r="A345" s="5" t="inlineStr">
        <is>
          <t>Inventory Finder Panel</t>
        </is>
      </c>
      <c r="B345" s="5" t="inlineStr">
        <is>
          <t>Shared component for searching inventory from sales/PO views</t>
        </is>
      </c>
      <c r="C345" s="5" t="inlineStr">
        <is>
          <t>InventoryFinderPanel</t>
        </is>
      </c>
      <c r="D345" s="5" t="inlineStr">
        <is>
          <t>Shared Component</t>
        </is>
      </c>
      <c r="E345" s="5" t="inlineStr"/>
      <c r="F345" s="5" t="inlineStr"/>
    </row>
    <row r="346" ht="22" customHeight="1">
      <c r="A346" s="5" t="inlineStr">
        <is>
          <t>Row Command History Drawer</t>
        </is>
      </c>
      <c r="B346" s="5" t="inlineStr">
        <is>
          <t>Per-row drawer showing command history tied to an entity</t>
        </is>
      </c>
      <c r="C346" s="5" t="inlineStr">
        <is>
          <t>RowCommandHistoryDrawer</t>
        </is>
      </c>
      <c r="D346" s="5" t="inlineStr">
        <is>
          <t>Shared Component</t>
        </is>
      </c>
      <c r="E346" s="5" t="inlineStr"/>
      <c r="F346" s="5" t="inlineStr"/>
    </row>
    <row r="347" ht="22" customHeight="1">
      <c r="A347" s="5" t="inlineStr">
        <is>
          <t>Contact Create Modal</t>
        </is>
      </c>
      <c r="B347" s="5" t="inlineStr">
        <is>
          <t>Shared modal for creating contacts from any view</t>
        </is>
      </c>
      <c r="C347" s="5" t="inlineStr">
        <is>
          <t>ContactCreateModal</t>
        </is>
      </c>
      <c r="D347" s="5" t="inlineStr">
        <is>
          <t>Shared Component</t>
        </is>
      </c>
      <c r="E347" s="5" t="inlineStr"/>
      <c r="F347" s="5" t="inlineStr"/>
    </row>
    <row r="348" ht="22" customHeight="1">
      <c r="A348" s="5" t="inlineStr">
        <is>
          <t>Media Upload (Mobile)</t>
        </is>
      </c>
      <c r="B348" s="5" t="inlineStr">
        <is>
          <t>Mobile-optimized media upload component</t>
        </is>
      </c>
      <c r="C348" s="5" t="inlineStr">
        <is>
          <t>MediaUploadMobile</t>
        </is>
      </c>
      <c r="D348" s="5" t="inlineStr">
        <is>
          <t>Shared Component</t>
        </is>
      </c>
      <c r="E348" s="5" t="inlineStr"/>
      <c r="F348" s="5" t="inlineStr"/>
    </row>
    <row r="349" ht="22" customHeight="1">
      <c r="A349" s="5" t="inlineStr">
        <is>
          <t>Use Command Runner Hook</t>
        </is>
      </c>
      <c r="B349" s="5" t="inlineStr">
        <is>
          <t>Centralized mutation hook: idempotency key, invalidate all queries, push toast</t>
        </is>
      </c>
      <c r="C349" s="5" t="inlineStr">
        <is>
          <t>useCommandRunner</t>
        </is>
      </c>
      <c r="D349" s="5" t="inlineStr">
        <is>
          <t>System Pattern</t>
        </is>
      </c>
      <c r="E349" s="5" t="inlineStr"/>
      <c r="F349" s="5" t="inlineStr"/>
    </row>
    <row r="350" ht="22" customHeight="1">
      <c r="A350" s="5" t="inlineStr">
        <is>
          <t>UI Store (Zustand)</t>
        </is>
      </c>
      <c r="B350" s="5" t="inlineStr">
        <is>
          <t>Persisted UI state: activeView, sideNav collapsed, drawer states, settings tabs, navGroupExpansion, focusMode, focusedPanelId</t>
        </is>
      </c>
      <c r="C350" s="5" t="inlineStr">
        <is>
          <t>uiStore</t>
        </is>
      </c>
      <c r="D350" s="5" t="inlineStr">
        <is>
          <t>System Pattern</t>
        </is>
      </c>
      <c r="E350" s="5" t="inlineStr"/>
      <c r="F350" s="5" t="inlineStr"/>
    </row>
    <row r="351" ht="22" customHeight="1">
      <c r="A351" s="5" t="inlineStr">
        <is>
          <t>Canvas Grammar (Feature Flag)</t>
        </is>
      </c>
      <c r="B351" s="5" t="inlineStr">
        <is>
          <t>Modern shell: Keel chips, Identity Ribbon, Context Drawer, focus mode (VITE_CANVAS_GRAMMAR_ENABLED)</t>
        </is>
      </c>
      <c r="C351" s="5" t="inlineStr">
        <is>
          <t>App</t>
        </is>
      </c>
      <c r="D351" s="5" t="inlineStr">
        <is>
          <t>System Feature (Flagged)</t>
        </is>
      </c>
      <c r="E351" s="5" t="inlineStr"/>
      <c r="F351" s="5" t="inlineStr">
        <is>
          <t>2026-06-18: flag flip gap closed — 83→98 evidence items resolved</t>
        </is>
      </c>
    </row>
    <row r="352" ht="22" customHeight="1">
      <c r="A352" s="6" t="inlineStr">
        <is>
          <t>GridView Template System</t>
        </is>
      </c>
      <c r="B352" s="6" t="inlineStr">
        <is>
          <t>Standardized view template with slot contracts: filter strip, status bar, master grid, detail panel. All 20+ views refactored through GridView (Phase 1-3, 2026-06-17/18)</t>
        </is>
      </c>
      <c r="C352" s="6" t="inlineStr">
        <is>
          <t>GridView</t>
        </is>
      </c>
      <c r="D352" s="6" t="inlineStr">
        <is>
          <t>System Pattern (Architecture)</t>
        </is>
      </c>
      <c r="E352" s="6" t="inlineStr"/>
      <c r="F352" s="6" t="inlineStr">
        <is>
          <t>NEW — 2026-06-17/18: Mercury UX Retrofit Phase 1-3. 13 views adopted GridView template. OperationsViews.tsx → per-view file split (UX-T01)</t>
        </is>
      </c>
    </row>
    <row r="353" ht="22" customHeight="1">
      <c r="A353" s="6" t="inlineStr">
        <is>
          <t>URL Grammar Routing</t>
        </is>
      </c>
      <c r="B353" s="6" t="inlineStr">
        <is>
          <t>URL-based routing for all views with canonical paths (/dashboard, /sales, /purchaseOrders, etc.). Browser back/forward, deep-linking work. ViewKey synced from pathname.</t>
        </is>
      </c>
      <c r="C353" s="6" t="inlineStr">
        <is>
          <t>App (React Router)</t>
        </is>
      </c>
      <c r="D353" s="6" t="inlineStr">
        <is>
          <t>System Pattern (Architecture)</t>
        </is>
      </c>
      <c r="E353" s="6" t="inlineStr"/>
      <c r="F353" s="6" t="inlineStr">
        <is>
          <t>NEW — 2026-06-18: R-10/11/17/18/19/20 — URL grammar + AG Grid + cell select</t>
        </is>
      </c>
    </row>
    <row r="354" ht="22" customHeight="1">
      <c r="A354" s="6" t="inlineStr">
        <is>
          <t>Domain Extraction (Backend)</t>
        </is>
      </c>
      <c r="B354" s="6" t="inlineStr">
        <is>
          <t>All 90+ command handlers extracted from monolithic commandBus.ts (7,400L) into per-domain directories: purchase-orders, sales-orders, payments, credit, inventory, media, pick, intake, vendor, matchmaking, contacts, referees. Shared: journal + socket-emitter.</t>
        </is>
      </c>
      <c r="C354" s="6" t="inlineStr">
        <is>
          <t>Server</t>
        </is>
      </c>
      <c r="D354" s="6" t="inlineStr">
        <is>
          <t>System Pattern (Architecture)</t>
        </is>
      </c>
      <c r="E354" s="6" t="inlineStr"/>
      <c r="F354" s="6" t="inlineStr">
        <is>
          <t>NEW — 2026-06-18/19: REF Foundational Uplift — domain extraction, router split, reliability (#501)</t>
        </is>
      </c>
    </row>
    <row r="355" ht="22" customHeight="1">
      <c r="A355" s="6" t="inlineStr">
        <is>
          <t>Command Registry (defineCommand)</t>
        </is>
      </c>
      <c r="B355" s="6" t="inlineStr">
        <is>
          <t>Self-registering command pattern: defineCommand() wraps name, Zod schema, RBAC, reversal policy, and handler in one file. PO domain prototype live (12 commands). Switch-case fallback for unmigrated domains. Mandatory for all new commands.</t>
        </is>
      </c>
      <c r="C355" s="6" t="inlineStr">
        <is>
          <t>Server</t>
        </is>
      </c>
      <c r="D355" s="6" t="inlineStr">
        <is>
          <t>System Pattern (Architecture)</t>
        </is>
      </c>
      <c r="E355" s="6" t="inlineStr"/>
      <c r="F355" s="6" t="inlineStr">
        <is>
          <t>NEW — 2026-06-25: feat: defineCommand + command registry (PO domain prototype). docs/decisions/0002-command-registry.md</t>
        </is>
      </c>
    </row>
    <row r="356" ht="22" customHeight="1">
      <c r="A356" s="6" t="inlineStr">
        <is>
          <t>Router Split Expansion</t>
        </is>
      </c>
      <c r="B356" s="6" t="inlineStr">
        <is>
          <t>Per-domain routers extracted from monolithic barrel. Error boundaries added at multiple levels. PR template + lefthook added. Structured logger replaces console.* calls.</t>
        </is>
      </c>
      <c r="C356" s="6" t="inlineStr">
        <is>
          <t>Server</t>
        </is>
      </c>
      <c r="D356" s="6" t="inlineStr">
        <is>
          <t>System Pattern (Architecture)</t>
        </is>
      </c>
      <c r="E356" s="6" t="inlineStr"/>
      <c r="F356" s="6" t="inlineStr">
        <is>
          <t>NEW — 2026-06-19: router split, error boundaries, structured logger, lefthook</t>
        </is>
      </c>
    </row>
    <row r="357" ht="22" customHeight="1">
      <c r="A357" s="6" t="inlineStr">
        <is>
          <t>Grid v2 — Subquery-Scoped ORDER BY</t>
        </is>
      </c>
      <c r="B357" s="6" t="inlineStr">
        <is>
          <t>All 20 views use subquery-scoped ORDER BY to fix sort conflicts. AG Grid module dedup. DR-1 category tier ordering. GridColDef export unification.</t>
        </is>
      </c>
      <c r="C357" s="6" t="inlineStr">
        <is>
          <t>OperatorGrid</t>
        </is>
      </c>
      <c r="D357" s="6" t="inlineStr">
        <is>
          <t>System Pattern (Infrastructure)</t>
        </is>
      </c>
      <c r="E357" s="6" t="inlineStr"/>
      <c r="F357" s="6" t="inlineStr">
        <is>
          <t>NEW — 2026-06-24/25: grid v2 fixes across all views</t>
        </is>
      </c>
    </row>
    <row r="358" ht="22" customHeight="1">
      <c r="A358" s="6" t="inlineStr">
        <is>
          <t>Flag Flips Closed (83→98)</t>
        </is>
      </c>
      <c r="B358" s="6" t="inlineStr">
        <is>
          <t>Evidence gaps closed — 83 to 98 flag items resolved. MarkPaymentUnapplied backend command (R-05, T3). Playwright E2E for PurchaseOrders + Payments/Recovery. A11y audit + integration smoke test.</t>
        </is>
      </c>
      <c r="C358" s="6" t="inlineStr">
        <is>
          <t>App</t>
        </is>
      </c>
      <c r="D358" s="6" t="inlineStr">
        <is>
          <t>System Pattern (Infrastructure)</t>
        </is>
      </c>
      <c r="E358" s="6" t="inlineStr"/>
      <c r="F358" s="6" t="inlineStr">
        <is>
          <t>NEW — 2026-06-18: evidence: flag flip gap closed</t>
        </is>
      </c>
    </row>
    <row r="360" ht="26" customHeight="1">
      <c r="A360" s="3">
        <f>== LOGIN ===</f>
        <v/>
      </c>
      <c r="B360" s="4" t="inlineStr"/>
      <c r="C360" s="4" t="inlineStr"/>
      <c r="D360" s="4" t="inlineStr"/>
      <c r="E360" s="4" t="inlineStr"/>
      <c r="F360" s="4" t="inlineStr"/>
    </row>
    <row r="361" ht="22" customHeight="1">
      <c r="A361" s="5" t="inlineStr">
        <is>
          <t>Login Page</t>
        </is>
      </c>
      <c r="B361" s="5" t="inlineStr">
        <is>
          <t>Email + password login form with session-based auth</t>
        </is>
      </c>
      <c r="C361" s="5" t="inlineStr">
        <is>
          <t>LoginView</t>
        </is>
      </c>
      <c r="D361" s="5" t="inlineStr">
        <is>
          <t>Page</t>
        </is>
      </c>
      <c r="E361" s="5" t="inlineStr"/>
      <c r="F361" s="5" t="inlineStr"/>
    </row>
    <row r="362" ht="22" customHeight="1">
      <c r="A362" s="5" t="inlineStr">
        <is>
          <t>Mobile Auto-Redirect on Login</t>
        </is>
      </c>
      <c r="B362" s="5" t="inlineStr">
        <is>
          <t>Viewports &lt;768px redirect to /mobile shell after login</t>
        </is>
      </c>
      <c r="C362" s="5" t="inlineStr">
        <is>
          <t>App</t>
        </is>
      </c>
      <c r="D362" s="5" t="inlineStr">
        <is>
          <t>Auth / Routing</t>
        </is>
      </c>
      <c r="E362" s="5" t="inlineStr"/>
      <c r="F362" s="5" t="inlineStr"/>
    </row>
  </sheetData>
  <autoFilter ref="A1:F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2026-06-25T21:54:21Z</dcterms:created>
  <dcterms:modified xsi:type="dcterms:W3CDTF">2026-06-25T21:54:21Z</dcterms:modified>
</cp:coreProperties>
</file>